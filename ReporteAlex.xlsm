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ESCARGA_BLASTER\"/>
    </mc:Choice>
  </mc:AlternateContent>
  <xr:revisionPtr revIDLastSave="0" documentId="13_ncr:1_{2844F222-B258-4924-944E-2C154B0B1A59}" xr6:coauthVersionLast="47" xr6:coauthVersionMax="47" xr10:uidLastSave="{00000000-0000-0000-0000-000000000000}"/>
  <bookViews>
    <workbookView xWindow="-18750" yWindow="0" windowWidth="14625" windowHeight="9420" activeTab="1" xr2:uid="{494D697C-6E3D-45EF-B031-5B002BD8670E}"/>
  </bookViews>
  <sheets>
    <sheet name="LLENADO" sheetId="2" r:id="rId1"/>
    <sheet name="CONCENTRADO" sheetId="11" r:id="rId2"/>
    <sheet name="TOTAL" sheetId="12" r:id="rId3"/>
  </sheets>
  <definedNames>
    <definedName name="_xlnm._FilterDatabase" localSheetId="1" hidden="1">CONCENTRADO!$A$1:$F$354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2" l="1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C29" i="12"/>
  <c r="D29" i="12"/>
  <c r="E29" i="12"/>
  <c r="F29" i="12"/>
  <c r="G29" i="12"/>
  <c r="H29" i="12"/>
  <c r="I29" i="12"/>
  <c r="J29" i="12"/>
  <c r="K29" i="12"/>
  <c r="L29" i="12"/>
  <c r="M29" i="12"/>
  <c r="N29" i="12"/>
  <c r="O29" i="12"/>
  <c r="C30" i="12"/>
  <c r="D30" i="12"/>
  <c r="E30" i="12"/>
  <c r="F30" i="12"/>
  <c r="G30" i="12"/>
  <c r="H30" i="12"/>
  <c r="I30" i="12"/>
  <c r="J30" i="12"/>
  <c r="K30" i="12"/>
  <c r="L30" i="12"/>
  <c r="M30" i="12"/>
  <c r="N30" i="12"/>
  <c r="O30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C2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C14" i="12"/>
  <c r="D3" i="12"/>
  <c r="E3" i="12"/>
  <c r="F3" i="12"/>
  <c r="G3" i="12"/>
  <c r="H3" i="12"/>
  <c r="I3" i="12"/>
  <c r="J3" i="12"/>
  <c r="K3" i="12"/>
  <c r="L3" i="12"/>
  <c r="M3" i="12"/>
  <c r="N3" i="12"/>
  <c r="O3" i="12"/>
  <c r="E4" i="12"/>
  <c r="F4" i="12"/>
  <c r="G4" i="12"/>
  <c r="H4" i="12"/>
  <c r="I4" i="12"/>
  <c r="J4" i="12"/>
  <c r="K4" i="12"/>
  <c r="L4" i="12"/>
  <c r="M4" i="12"/>
  <c r="N4" i="12"/>
  <c r="O4" i="12"/>
  <c r="D5" i="12"/>
  <c r="E5" i="12"/>
  <c r="F5" i="12"/>
  <c r="G5" i="12"/>
  <c r="H5" i="12"/>
  <c r="I5" i="12"/>
  <c r="J5" i="12"/>
  <c r="K5" i="12"/>
  <c r="L5" i="12"/>
  <c r="M5" i="12"/>
  <c r="N5" i="12"/>
  <c r="O5" i="12"/>
  <c r="D6" i="12"/>
  <c r="E6" i="12"/>
  <c r="F6" i="12"/>
  <c r="G6" i="12"/>
  <c r="H6" i="12"/>
  <c r="I6" i="12"/>
  <c r="J6" i="12"/>
  <c r="K6" i="12"/>
  <c r="L6" i="12"/>
  <c r="M6" i="12"/>
  <c r="N6" i="12"/>
  <c r="O6" i="12"/>
  <c r="D7" i="12"/>
  <c r="E7" i="12"/>
  <c r="F7" i="12"/>
  <c r="G7" i="12"/>
  <c r="H7" i="12"/>
  <c r="I7" i="12"/>
  <c r="J7" i="12"/>
  <c r="K7" i="12"/>
  <c r="L7" i="12"/>
  <c r="M7" i="12"/>
  <c r="N7" i="12"/>
  <c r="O7" i="12"/>
  <c r="D8" i="12"/>
  <c r="E8" i="12"/>
  <c r="F8" i="12"/>
  <c r="G8" i="12"/>
  <c r="H8" i="12"/>
  <c r="I8" i="12"/>
  <c r="J8" i="12"/>
  <c r="K8" i="12"/>
  <c r="L8" i="12"/>
  <c r="M8" i="12"/>
  <c r="N8" i="12"/>
  <c r="O8" i="12"/>
  <c r="C6" i="12"/>
  <c r="C7" i="12"/>
  <c r="C8" i="12"/>
  <c r="C4" i="12"/>
  <c r="C5" i="12"/>
  <c r="C3" i="12"/>
  <c r="D24" i="12"/>
  <c r="C24" i="12"/>
  <c r="D13" i="12"/>
  <c r="C13" i="12"/>
  <c r="D2" i="12"/>
  <c r="C2" i="12" l="1"/>
</calcChain>
</file>

<file path=xl/sharedStrings.xml><?xml version="1.0" encoding="utf-8"?>
<sst xmlns="http://schemas.openxmlformats.org/spreadsheetml/2006/main" count="796" uniqueCount="24">
  <si>
    <t>ATT</t>
  </si>
  <si>
    <t>BBVA</t>
  </si>
  <si>
    <t>GMF</t>
  </si>
  <si>
    <t>IVR</t>
  </si>
  <si>
    <t>SMS</t>
  </si>
  <si>
    <t>MAIL</t>
  </si>
  <si>
    <t>LLENADO</t>
  </si>
  <si>
    <t>INFO</t>
  </si>
  <si>
    <t>SCOT</t>
  </si>
  <si>
    <t>TYT</t>
  </si>
  <si>
    <t>CARTERA</t>
  </si>
  <si>
    <t>HERRAMIENTA</t>
  </si>
  <si>
    <t>Herramienta</t>
  </si>
  <si>
    <t>Mes</t>
  </si>
  <si>
    <t>Dia</t>
  </si>
  <si>
    <t>Hora</t>
  </si>
  <si>
    <t>Cantidad</t>
  </si>
  <si>
    <t>Cartera</t>
  </si>
  <si>
    <t>INGRESE TOTAL</t>
  </si>
  <si>
    <t>DIA</t>
  </si>
  <si>
    <t>MES</t>
  </si>
  <si>
    <t>BLASTER</t>
  </si>
  <si>
    <t xml:space="preserve">INSERT 1 </t>
  </si>
  <si>
    <t>16.05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</si>
</sst>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ck">
        <color theme="7" tint="0.39997558519241921"/>
      </left>
      <right style="thick">
        <color theme="7" tint="0.39997558519241921"/>
      </right>
      <top style="thick">
        <color theme="7" tint="0.39997558519241921"/>
      </top>
      <bottom style="thick">
        <color theme="7" tint="0.39997558519241921"/>
      </bottom>
      <diagonal/>
    </border>
    <border>
      <left style="thick">
        <color theme="7" tint="0.39997558519241921"/>
      </left>
      <right/>
      <top/>
      <bottom/>
      <diagonal/>
    </border>
    <border>
      <left/>
      <right/>
      <top/>
      <bottom style="thick">
        <color theme="3" tint="0.39997558519241921"/>
      </bottom>
      <diagonal/>
    </border>
    <border>
      <left style="thick">
        <color theme="3" tint="0.39997558519241921"/>
      </left>
      <right style="thick">
        <color theme="3" tint="0.39997558519241921"/>
      </right>
      <top style="thick">
        <color theme="3" tint="0.39997558519241921"/>
      </top>
      <bottom style="thick">
        <color theme="3" tint="0.39997558519241921"/>
      </bottom>
      <diagonal/>
    </border>
    <border>
      <left style="thin">
        <color indexed="64"/>
      </left>
      <right style="thick">
        <color theme="3" tint="0.39997558519241921"/>
      </right>
      <top/>
      <bottom/>
      <diagonal/>
    </border>
    <border>
      <left style="thick">
        <color theme="3" tint="0.39997558519241921"/>
      </left>
      <right/>
      <top style="thick">
        <color theme="3" tint="0.39997558519241921"/>
      </top>
      <bottom style="thick">
        <color theme="3" tint="0.39997558519241921"/>
      </bottom>
      <diagonal/>
    </border>
    <border>
      <left/>
      <right/>
      <top style="thick">
        <color theme="3" tint="0.39997558519241921"/>
      </top>
      <bottom/>
      <diagonal/>
    </border>
    <border>
      <left style="thick">
        <color theme="3" tint="0.39997558519241921"/>
      </left>
      <right style="thick">
        <color theme="3" tint="0.39997558519241921"/>
      </right>
      <top style="thick">
        <color theme="3" tint="0.3999755851924192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22" fontId="0" fillId="0" borderId="0" xfId="0" applyNumberFormat="1"/>
    <xf numFmtId="0" fontId="0" fillId="4" borderId="1" xfId="0" applyFill="1" applyBorder="1"/>
    <xf numFmtId="1" fontId="0" fillId="4" borderId="1" xfId="0" applyNumberFormat="1" applyFill="1" applyBorder="1"/>
    <xf numFmtId="0" fontId="0" fillId="3" borderId="0" xfId="0" applyFill="1"/>
    <xf numFmtId="22" fontId="0" fillId="3" borderId="0" xfId="0" applyNumberFormat="1" applyFill="1"/>
    <xf numFmtId="0" fontId="0" fillId="3" borderId="6" xfId="0" applyFill="1" applyBorder="1"/>
    <xf numFmtId="22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3" borderId="12" xfId="0" applyNumberFormat="1" applyFill="1" applyBorder="1"/>
    <xf numFmtId="0" fontId="0" fillId="3" borderId="13" xfId="0" applyFill="1" applyBorder="1"/>
    <xf numFmtId="0" fontId="0" fillId="3" borderId="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/>
    </xf>
    <xf numFmtId="164" fontId="0" fillId="3" borderId="14" xfId="0" applyNumberForma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1" fillId="0" borderId="0" xfId="0" applyFont="1" applyProtection="1">
      <protection hidden="1"/>
    </xf>
    <xf numFmtId="0" fontId="1" fillId="0" borderId="20" xfId="0" applyFont="1" applyBorder="1" applyProtection="1">
      <protection hidden="1"/>
    </xf>
    <xf numFmtId="0" fontId="3" fillId="3" borderId="5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4" borderId="4" xfId="0" applyFill="1" applyBorder="1" applyAlignment="1">
      <alignment horizontal="center"/>
    </xf>
    <xf numFmtId="0" fontId="4" fillId="0" borderId="0" xfId="0" applyFont="1"/>
    <xf numFmtId="0" fontId="4" fillId="0" borderId="15" xfId="0" applyFont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5</xdr:row>
          <xdr:rowOff>133350</xdr:rowOff>
        </xdr:from>
        <xdr:to>
          <xdr:col>4</xdr:col>
          <xdr:colOff>9525</xdr:colOff>
          <xdr:row>6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LLENAR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16AA3-C0B7-412C-A322-F4D2B329F5A3}">
  <sheetPr codeName="Sheet1"/>
  <dimension ref="A1:J14"/>
  <sheetViews>
    <sheetView workbookViewId="0">
      <selection activeCell="G7" sqref="G7"/>
    </sheetView>
  </sheetViews>
  <sheetFormatPr defaultRowHeight="15" x14ac:dyDescent="0.25"/>
  <cols>
    <col min="2" max="2" width="13.5703125" customWidth="1"/>
    <col min="3" max="3" width="13.7109375" customWidth="1"/>
    <col min="4" max="4" width="15.85546875" bestFit="1" customWidth="1"/>
    <col min="6" max="16384" width="9.140625" style="31"/>
  </cols>
  <sheetData>
    <row r="1" spans="1:10" ht="15.75" thickBot="1" x14ac:dyDescent="0.3">
      <c r="A1" s="29" t="s">
        <v>6</v>
      </c>
      <c r="B1" s="29"/>
      <c r="C1" s="29"/>
      <c r="D1" s="29"/>
      <c r="E1" s="29"/>
    </row>
    <row r="2" spans="1:10" ht="16.5" thickTop="1" thickBot="1" x14ac:dyDescent="0.3">
      <c r="A2" s="9"/>
      <c r="B2" s="18" t="s">
        <v>10</v>
      </c>
      <c r="C2" s="10"/>
      <c r="D2" s="18" t="s">
        <v>11</v>
      </c>
      <c r="E2" s="11"/>
      <c r="H2" s="32"/>
      <c r="J2" s="31" t="s">
        <v>0</v>
      </c>
    </row>
    <row r="3" spans="1:10" ht="16.5" thickTop="1" thickBot="1" x14ac:dyDescent="0.3">
      <c r="A3" s="12"/>
      <c r="B3" s="19" t="s">
        <v>2</v>
      </c>
      <c r="C3" s="8"/>
      <c r="D3" s="20" t="s">
        <v>4</v>
      </c>
      <c r="E3" s="13"/>
      <c r="G3" s="31" t="s">
        <v>21</v>
      </c>
      <c r="J3" s="31" t="s">
        <v>1</v>
      </c>
    </row>
    <row r="4" spans="1:10" ht="15.75" thickTop="1" x14ac:dyDescent="0.25">
      <c r="A4" s="12"/>
      <c r="B4" s="7"/>
      <c r="C4" s="8"/>
      <c r="D4" s="7"/>
      <c r="E4" s="13"/>
      <c r="G4" s="31" t="s">
        <v>4</v>
      </c>
      <c r="H4" s="32"/>
      <c r="J4" s="31" t="s">
        <v>2</v>
      </c>
    </row>
    <row r="5" spans="1:10" x14ac:dyDescent="0.25">
      <c r="A5" s="12"/>
      <c r="B5" s="7"/>
      <c r="C5" s="8"/>
      <c r="D5" s="7"/>
      <c r="E5" s="13"/>
      <c r="G5" s="31" t="s">
        <v>5</v>
      </c>
      <c r="J5" s="31" t="s">
        <v>7</v>
      </c>
    </row>
    <row r="6" spans="1:10" ht="15.75" thickBot="1" x14ac:dyDescent="0.3">
      <c r="A6" s="12"/>
      <c r="B6" s="7" t="s">
        <v>18</v>
      </c>
      <c r="C6" s="7"/>
      <c r="D6" s="7"/>
      <c r="E6" s="13"/>
      <c r="J6" s="31" t="s">
        <v>8</v>
      </c>
    </row>
    <row r="7" spans="1:10" ht="32.25" customHeight="1" thickBot="1" x14ac:dyDescent="0.3">
      <c r="A7" s="12"/>
      <c r="B7" s="28">
        <v>13666</v>
      </c>
      <c r="C7" s="8"/>
      <c r="D7" s="7"/>
      <c r="E7" s="13"/>
      <c r="J7" s="31" t="s">
        <v>9</v>
      </c>
    </row>
    <row r="8" spans="1:10" ht="15.75" thickBot="1" x14ac:dyDescent="0.3">
      <c r="A8" s="14"/>
      <c r="B8" s="15"/>
      <c r="C8" s="16"/>
      <c r="D8" s="15"/>
      <c r="E8" s="17"/>
    </row>
    <row r="9" spans="1:10" ht="15.75" thickTop="1" x14ac:dyDescent="0.25">
      <c r="C9" s="4"/>
    </row>
    <row r="10" spans="1:10" x14ac:dyDescent="0.25">
      <c r="C10" s="4"/>
    </row>
    <row r="11" spans="1:10" x14ac:dyDescent="0.25">
      <c r="C11" s="4"/>
    </row>
    <row r="12" spans="1:10" x14ac:dyDescent="0.25">
      <c r="C12" s="4"/>
    </row>
    <row r="13" spans="1:10" x14ac:dyDescent="0.25">
      <c r="C13" s="4"/>
    </row>
    <row r="14" spans="1:10" x14ac:dyDescent="0.25">
      <c r="C14" s="4"/>
    </row>
  </sheetData>
  <mergeCells count="1">
    <mergeCell ref="A1:E1"/>
  </mergeCells>
  <dataValidations count="2">
    <dataValidation type="list" allowBlank="1" showInputMessage="1" showErrorMessage="1" sqref="J2:J7 B3" xr:uid="{B58163D7-2449-4C51-B75D-2BC1C0850791}">
      <formula1>$J$2:$J$7</formula1>
    </dataValidation>
    <dataValidation type="list" allowBlank="1" showInputMessage="1" showErrorMessage="1" sqref="D3" xr:uid="{2FE58341-1AC9-40C5-93ED-1FF2C326E868}">
      <formula1>$G$3:$G$5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847725</xdr:colOff>
                    <xdr:row>5</xdr:row>
                    <xdr:rowOff>133350</xdr:rowOff>
                  </from>
                  <to>
                    <xdr:col>4</xdr:col>
                    <xdr:colOff>9525</xdr:colOff>
                    <xdr:row>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FE441-B0E9-4A6C-BB41-4F0AAD407651}">
  <sheetPr codeName="Sheet2"/>
  <dimension ref="A1:I376"/>
  <sheetViews>
    <sheetView tabSelected="1" topLeftCell="A364" workbookViewId="0">
      <selection activeCell="F368" sqref="F368"/>
    </sheetView>
  </sheetViews>
  <sheetFormatPr defaultRowHeight="15" x14ac:dyDescent="0.25"/>
  <cols>
    <col min="3" max="3" width="7.28515625" customWidth="1"/>
    <col min="6" max="6" width="14.140625" customWidth="1"/>
    <col min="8" max="8" width="10.7109375" bestFit="1" customWidth="1"/>
  </cols>
  <sheetData>
    <row r="1" spans="1:6" x14ac:dyDescent="0.25">
      <c r="A1" t="s">
        <v>17</v>
      </c>
      <c r="B1" t="s">
        <v>16</v>
      </c>
      <c r="C1" t="s">
        <v>15</v>
      </c>
      <c r="D1" t="s">
        <v>14</v>
      </c>
      <c r="E1" t="s">
        <v>13</v>
      </c>
      <c r="F1" t="s">
        <v>12</v>
      </c>
    </row>
    <row r="2" spans="1:6" x14ac:dyDescent="0.25">
      <c r="A2" t="s">
        <v>0</v>
      </c>
      <c r="B2">
        <v>15619</v>
      </c>
      <c r="C2">
        <v>8</v>
      </c>
      <c r="D2">
        <v>21</v>
      </c>
      <c r="E2">
        <v>10</v>
      </c>
      <c r="F2" t="s">
        <v>21</v>
      </c>
    </row>
    <row r="3" spans="1:6" x14ac:dyDescent="0.25">
      <c r="A3" t="s">
        <v>0</v>
      </c>
      <c r="B3">
        <v>15619</v>
      </c>
      <c r="C3">
        <v>8</v>
      </c>
      <c r="D3">
        <v>21</v>
      </c>
      <c r="E3">
        <v>10</v>
      </c>
      <c r="F3" t="s">
        <v>21</v>
      </c>
    </row>
    <row r="4" spans="1:6" x14ac:dyDescent="0.25">
      <c r="A4" t="s">
        <v>0</v>
      </c>
      <c r="B4">
        <v>15619</v>
      </c>
      <c r="C4">
        <v>8</v>
      </c>
      <c r="D4">
        <v>21</v>
      </c>
      <c r="E4">
        <v>10</v>
      </c>
      <c r="F4" t="s">
        <v>21</v>
      </c>
    </row>
    <row r="5" spans="1:6" x14ac:dyDescent="0.25">
      <c r="A5" t="s">
        <v>0</v>
      </c>
      <c r="B5">
        <v>15619</v>
      </c>
      <c r="C5">
        <v>8</v>
      </c>
      <c r="D5">
        <v>21</v>
      </c>
      <c r="E5">
        <v>10</v>
      </c>
      <c r="F5" t="s">
        <v>21</v>
      </c>
    </row>
    <row r="6" spans="1:6" x14ac:dyDescent="0.25">
      <c r="A6" t="s">
        <v>1</v>
      </c>
      <c r="B6">
        <v>4955</v>
      </c>
      <c r="C6">
        <v>8</v>
      </c>
      <c r="D6">
        <v>21</v>
      </c>
      <c r="E6">
        <v>10</v>
      </c>
      <c r="F6" t="s">
        <v>21</v>
      </c>
    </row>
    <row r="7" spans="1:6" x14ac:dyDescent="0.25">
      <c r="A7" t="s">
        <v>1</v>
      </c>
      <c r="B7">
        <v>45</v>
      </c>
      <c r="C7">
        <v>8</v>
      </c>
      <c r="D7">
        <v>21</v>
      </c>
      <c r="E7">
        <v>10</v>
      </c>
      <c r="F7" t="s">
        <v>4</v>
      </c>
    </row>
    <row r="8" spans="1:6" x14ac:dyDescent="0.25">
      <c r="A8" t="s">
        <v>1</v>
      </c>
      <c r="B8">
        <v>182</v>
      </c>
      <c r="C8">
        <v>8</v>
      </c>
      <c r="D8">
        <v>21</v>
      </c>
      <c r="E8">
        <v>10</v>
      </c>
      <c r="F8" t="s">
        <v>4</v>
      </c>
    </row>
    <row r="9" spans="1:6" x14ac:dyDescent="0.25">
      <c r="A9" t="s">
        <v>1</v>
      </c>
      <c r="B9">
        <v>44</v>
      </c>
      <c r="C9">
        <v>8</v>
      </c>
      <c r="D9">
        <v>21</v>
      </c>
      <c r="E9">
        <v>10</v>
      </c>
      <c r="F9" t="s">
        <v>4</v>
      </c>
    </row>
    <row r="10" spans="1:6" x14ac:dyDescent="0.25">
      <c r="A10" t="s">
        <v>1</v>
      </c>
      <c r="B10">
        <v>9332</v>
      </c>
      <c r="C10">
        <v>8</v>
      </c>
      <c r="D10">
        <v>21</v>
      </c>
      <c r="E10">
        <v>10</v>
      </c>
      <c r="F10" t="s">
        <v>21</v>
      </c>
    </row>
    <row r="11" spans="1:6" x14ac:dyDescent="0.25">
      <c r="A11" t="s">
        <v>2</v>
      </c>
      <c r="B11">
        <v>12933</v>
      </c>
      <c r="C11">
        <v>8</v>
      </c>
      <c r="D11">
        <v>21</v>
      </c>
      <c r="E11">
        <v>10</v>
      </c>
      <c r="F11" t="s">
        <v>21</v>
      </c>
    </row>
    <row r="12" spans="1:6" x14ac:dyDescent="0.25">
      <c r="A12" t="s">
        <v>2</v>
      </c>
      <c r="B12">
        <v>5451</v>
      </c>
      <c r="C12">
        <v>8</v>
      </c>
      <c r="D12">
        <v>21</v>
      </c>
      <c r="E12">
        <v>10</v>
      </c>
      <c r="F12" t="s">
        <v>21</v>
      </c>
    </row>
    <row r="13" spans="1:6" x14ac:dyDescent="0.25">
      <c r="A13" t="s">
        <v>1</v>
      </c>
      <c r="B13">
        <v>10033</v>
      </c>
      <c r="C13">
        <v>9</v>
      </c>
      <c r="D13">
        <v>21</v>
      </c>
      <c r="E13">
        <v>10</v>
      </c>
      <c r="F13" t="s">
        <v>21</v>
      </c>
    </row>
    <row r="14" spans="1:6" x14ac:dyDescent="0.25">
      <c r="A14" t="s">
        <v>1</v>
      </c>
      <c r="B14">
        <v>10130</v>
      </c>
      <c r="C14">
        <v>9</v>
      </c>
      <c r="D14">
        <v>21</v>
      </c>
      <c r="E14">
        <v>10</v>
      </c>
      <c r="F14" t="s">
        <v>21</v>
      </c>
    </row>
    <row r="15" spans="1:6" x14ac:dyDescent="0.25">
      <c r="A15" t="s">
        <v>1</v>
      </c>
      <c r="B15">
        <v>845</v>
      </c>
      <c r="C15">
        <v>10</v>
      </c>
      <c r="D15">
        <v>21</v>
      </c>
      <c r="E15">
        <v>10</v>
      </c>
      <c r="F15" t="s">
        <v>4</v>
      </c>
    </row>
    <row r="16" spans="1:6" x14ac:dyDescent="0.25">
      <c r="A16" t="s">
        <v>0</v>
      </c>
      <c r="B16">
        <v>3125</v>
      </c>
      <c r="C16">
        <v>10</v>
      </c>
      <c r="D16">
        <v>21</v>
      </c>
      <c r="E16">
        <v>10</v>
      </c>
      <c r="F16" t="s">
        <v>21</v>
      </c>
    </row>
    <row r="17" spans="1:6" x14ac:dyDescent="0.25">
      <c r="A17" t="s">
        <v>0</v>
      </c>
      <c r="B17">
        <v>5783</v>
      </c>
      <c r="C17">
        <v>10</v>
      </c>
      <c r="D17">
        <v>21</v>
      </c>
      <c r="E17">
        <v>10</v>
      </c>
      <c r="F17" t="s">
        <v>21</v>
      </c>
    </row>
    <row r="18" spans="1:6" x14ac:dyDescent="0.25">
      <c r="A18" t="s">
        <v>0</v>
      </c>
      <c r="B18">
        <v>4576</v>
      </c>
      <c r="C18">
        <v>10</v>
      </c>
      <c r="D18">
        <v>21</v>
      </c>
      <c r="E18">
        <v>10</v>
      </c>
      <c r="F18" t="s">
        <v>21</v>
      </c>
    </row>
    <row r="19" spans="1:6" x14ac:dyDescent="0.25">
      <c r="A19" t="s">
        <v>0</v>
      </c>
      <c r="B19">
        <v>15534</v>
      </c>
      <c r="C19">
        <v>12</v>
      </c>
      <c r="D19">
        <v>21</v>
      </c>
      <c r="E19">
        <v>10</v>
      </c>
      <c r="F19" t="s">
        <v>21</v>
      </c>
    </row>
    <row r="20" spans="1:6" x14ac:dyDescent="0.25">
      <c r="A20" t="s">
        <v>0</v>
      </c>
      <c r="B20">
        <v>16345</v>
      </c>
      <c r="C20">
        <v>12</v>
      </c>
      <c r="D20">
        <v>21</v>
      </c>
      <c r="E20">
        <v>10</v>
      </c>
      <c r="F20" t="s">
        <v>21</v>
      </c>
    </row>
    <row r="21" spans="1:6" x14ac:dyDescent="0.25">
      <c r="A21" t="s">
        <v>0</v>
      </c>
      <c r="B21">
        <v>15534</v>
      </c>
      <c r="C21">
        <v>12</v>
      </c>
      <c r="D21">
        <v>21</v>
      </c>
      <c r="E21">
        <v>10</v>
      </c>
      <c r="F21" t="s">
        <v>21</v>
      </c>
    </row>
    <row r="22" spans="1:6" x14ac:dyDescent="0.25">
      <c r="A22" t="s">
        <v>0</v>
      </c>
      <c r="B22">
        <v>16345</v>
      </c>
      <c r="C22">
        <v>12</v>
      </c>
      <c r="D22">
        <v>21</v>
      </c>
      <c r="E22">
        <v>10</v>
      </c>
      <c r="F22" t="s">
        <v>21</v>
      </c>
    </row>
    <row r="23" spans="1:6" x14ac:dyDescent="0.25">
      <c r="A23" t="s">
        <v>1</v>
      </c>
      <c r="B23">
        <v>1509</v>
      </c>
      <c r="C23">
        <v>12</v>
      </c>
      <c r="D23">
        <v>21</v>
      </c>
      <c r="E23">
        <v>10</v>
      </c>
      <c r="F23" t="s">
        <v>4</v>
      </c>
    </row>
    <row r="24" spans="1:6" x14ac:dyDescent="0.25">
      <c r="A24" t="s">
        <v>0</v>
      </c>
      <c r="B24">
        <v>22507</v>
      </c>
      <c r="C24">
        <v>13</v>
      </c>
      <c r="D24">
        <v>21</v>
      </c>
      <c r="E24">
        <v>10</v>
      </c>
      <c r="F24" t="s">
        <v>21</v>
      </c>
    </row>
    <row r="25" spans="1:6" x14ac:dyDescent="0.25">
      <c r="A25" t="s">
        <v>0</v>
      </c>
      <c r="B25">
        <v>21533</v>
      </c>
      <c r="C25">
        <v>13</v>
      </c>
      <c r="D25">
        <v>21</v>
      </c>
      <c r="E25">
        <v>10</v>
      </c>
      <c r="F25" t="s">
        <v>21</v>
      </c>
    </row>
    <row r="26" spans="1:6" x14ac:dyDescent="0.25">
      <c r="A26" t="s">
        <v>0</v>
      </c>
      <c r="B26">
        <v>19375</v>
      </c>
      <c r="C26">
        <v>13</v>
      </c>
      <c r="D26">
        <v>21</v>
      </c>
      <c r="E26">
        <v>10</v>
      </c>
      <c r="F26" t="s">
        <v>21</v>
      </c>
    </row>
    <row r="27" spans="1:6" x14ac:dyDescent="0.25">
      <c r="A27" t="s">
        <v>0</v>
      </c>
      <c r="B27">
        <v>22507</v>
      </c>
      <c r="C27">
        <v>13</v>
      </c>
      <c r="D27">
        <v>21</v>
      </c>
      <c r="E27">
        <v>10</v>
      </c>
      <c r="F27" t="s">
        <v>21</v>
      </c>
    </row>
    <row r="28" spans="1:6" x14ac:dyDescent="0.25">
      <c r="A28" t="s">
        <v>0</v>
      </c>
      <c r="B28">
        <v>21533</v>
      </c>
      <c r="C28">
        <v>13</v>
      </c>
      <c r="D28">
        <v>21</v>
      </c>
      <c r="E28">
        <v>10</v>
      </c>
      <c r="F28" t="s">
        <v>21</v>
      </c>
    </row>
    <row r="29" spans="1:6" x14ac:dyDescent="0.25">
      <c r="A29" t="s">
        <v>0</v>
      </c>
      <c r="B29">
        <v>19376</v>
      </c>
      <c r="C29">
        <v>13</v>
      </c>
      <c r="D29">
        <v>21</v>
      </c>
      <c r="E29">
        <v>10</v>
      </c>
      <c r="F29" t="s">
        <v>21</v>
      </c>
    </row>
    <row r="30" spans="1:6" x14ac:dyDescent="0.25">
      <c r="A30" t="s">
        <v>9</v>
      </c>
      <c r="B30">
        <v>1339</v>
      </c>
      <c r="C30">
        <v>14</v>
      </c>
      <c r="D30">
        <v>21</v>
      </c>
      <c r="E30">
        <v>10</v>
      </c>
      <c r="F30" t="s">
        <v>21</v>
      </c>
    </row>
    <row r="31" spans="1:6" x14ac:dyDescent="0.25">
      <c r="A31" t="s">
        <v>9</v>
      </c>
      <c r="B31">
        <v>2520</v>
      </c>
      <c r="C31">
        <v>14</v>
      </c>
      <c r="D31">
        <v>21</v>
      </c>
      <c r="E31">
        <v>10</v>
      </c>
      <c r="F31" t="s">
        <v>21</v>
      </c>
    </row>
    <row r="32" spans="1:6" x14ac:dyDescent="0.25">
      <c r="A32" t="s">
        <v>0</v>
      </c>
      <c r="B32">
        <v>12044</v>
      </c>
      <c r="C32">
        <v>15</v>
      </c>
      <c r="D32">
        <v>21</v>
      </c>
      <c r="E32">
        <v>10</v>
      </c>
      <c r="F32" t="s">
        <v>21</v>
      </c>
    </row>
    <row r="33" spans="1:6" x14ac:dyDescent="0.25">
      <c r="A33" t="s">
        <v>0</v>
      </c>
      <c r="B33">
        <v>19261</v>
      </c>
      <c r="C33">
        <v>15</v>
      </c>
      <c r="D33">
        <v>21</v>
      </c>
      <c r="E33">
        <v>10</v>
      </c>
      <c r="F33" t="s">
        <v>21</v>
      </c>
    </row>
    <row r="34" spans="1:6" x14ac:dyDescent="0.25">
      <c r="A34" t="s">
        <v>0</v>
      </c>
      <c r="B34">
        <v>13903</v>
      </c>
      <c r="C34">
        <v>15</v>
      </c>
      <c r="D34">
        <v>21</v>
      </c>
      <c r="E34">
        <v>10</v>
      </c>
      <c r="F34" t="s">
        <v>21</v>
      </c>
    </row>
    <row r="35" spans="1:6" x14ac:dyDescent="0.25">
      <c r="A35" t="s">
        <v>2</v>
      </c>
      <c r="B35">
        <v>2678</v>
      </c>
      <c r="C35">
        <v>15</v>
      </c>
      <c r="D35">
        <v>21</v>
      </c>
      <c r="E35">
        <v>10</v>
      </c>
      <c r="F35" t="s">
        <v>4</v>
      </c>
    </row>
    <row r="36" spans="1:6" x14ac:dyDescent="0.25">
      <c r="A36" t="s">
        <v>2</v>
      </c>
      <c r="B36">
        <v>3764</v>
      </c>
      <c r="C36">
        <v>15</v>
      </c>
      <c r="D36">
        <v>21</v>
      </c>
      <c r="E36">
        <v>10</v>
      </c>
      <c r="F36" t="s">
        <v>4</v>
      </c>
    </row>
    <row r="37" spans="1:6" x14ac:dyDescent="0.25">
      <c r="A37" t="s">
        <v>0</v>
      </c>
      <c r="B37">
        <v>19378</v>
      </c>
      <c r="C37">
        <v>17</v>
      </c>
      <c r="D37">
        <v>21</v>
      </c>
      <c r="E37">
        <v>10</v>
      </c>
      <c r="F37" t="s">
        <v>21</v>
      </c>
    </row>
    <row r="38" spans="1:6" x14ac:dyDescent="0.25">
      <c r="A38" t="s">
        <v>0</v>
      </c>
      <c r="B38">
        <v>15789</v>
      </c>
      <c r="C38">
        <v>17</v>
      </c>
      <c r="D38">
        <v>21</v>
      </c>
      <c r="E38">
        <v>10</v>
      </c>
      <c r="F38" t="s">
        <v>21</v>
      </c>
    </row>
    <row r="39" spans="1:6" x14ac:dyDescent="0.25">
      <c r="A39" t="s">
        <v>0</v>
      </c>
      <c r="B39">
        <v>19293</v>
      </c>
      <c r="C39">
        <v>17</v>
      </c>
      <c r="D39">
        <v>21</v>
      </c>
      <c r="E39">
        <v>10</v>
      </c>
      <c r="F39" t="s">
        <v>21</v>
      </c>
    </row>
    <row r="40" spans="1:6" x14ac:dyDescent="0.25">
      <c r="A40" t="s">
        <v>0</v>
      </c>
      <c r="B40">
        <v>19376</v>
      </c>
      <c r="C40">
        <v>17</v>
      </c>
      <c r="D40">
        <v>21</v>
      </c>
      <c r="E40">
        <v>10</v>
      </c>
      <c r="F40" t="s">
        <v>21</v>
      </c>
    </row>
    <row r="41" spans="1:6" x14ac:dyDescent="0.25">
      <c r="A41" t="s">
        <v>0</v>
      </c>
      <c r="B41">
        <v>19291</v>
      </c>
      <c r="C41">
        <v>17</v>
      </c>
      <c r="D41">
        <v>21</v>
      </c>
      <c r="E41">
        <v>10</v>
      </c>
      <c r="F41" t="s">
        <v>21</v>
      </c>
    </row>
    <row r="42" spans="1:6" x14ac:dyDescent="0.25">
      <c r="A42" t="s">
        <v>0</v>
      </c>
      <c r="B42">
        <v>12709</v>
      </c>
      <c r="C42">
        <v>8</v>
      </c>
      <c r="D42">
        <v>22</v>
      </c>
      <c r="E42">
        <v>10</v>
      </c>
      <c r="F42" t="s">
        <v>21</v>
      </c>
    </row>
    <row r="43" spans="1:6" x14ac:dyDescent="0.25">
      <c r="A43" t="s">
        <v>0</v>
      </c>
      <c r="B43">
        <v>10806</v>
      </c>
      <c r="C43">
        <v>8</v>
      </c>
      <c r="D43">
        <v>22</v>
      </c>
      <c r="E43">
        <v>10</v>
      </c>
      <c r="F43" t="s">
        <v>21</v>
      </c>
    </row>
    <row r="44" spans="1:6" x14ac:dyDescent="0.25">
      <c r="A44" t="s">
        <v>0</v>
      </c>
      <c r="B44">
        <v>18756</v>
      </c>
      <c r="C44">
        <v>8</v>
      </c>
      <c r="D44">
        <v>22</v>
      </c>
      <c r="E44">
        <v>10</v>
      </c>
      <c r="F44" t="s">
        <v>21</v>
      </c>
    </row>
    <row r="45" spans="1:6" x14ac:dyDescent="0.25">
      <c r="A45" t="s">
        <v>0</v>
      </c>
      <c r="B45">
        <v>18313</v>
      </c>
      <c r="C45">
        <v>8</v>
      </c>
      <c r="D45">
        <v>22</v>
      </c>
      <c r="E45">
        <v>10</v>
      </c>
      <c r="F45" t="s">
        <v>21</v>
      </c>
    </row>
    <row r="46" spans="1:6" x14ac:dyDescent="0.25">
      <c r="A46" t="s">
        <v>1</v>
      </c>
      <c r="B46">
        <v>200</v>
      </c>
      <c r="C46">
        <v>8</v>
      </c>
      <c r="D46">
        <v>22</v>
      </c>
      <c r="E46">
        <v>10</v>
      </c>
      <c r="F46" t="s">
        <v>4</v>
      </c>
    </row>
    <row r="47" spans="1:6" x14ac:dyDescent="0.25">
      <c r="A47" t="s">
        <v>1</v>
      </c>
      <c r="B47">
        <v>25</v>
      </c>
      <c r="C47">
        <v>8</v>
      </c>
      <c r="D47">
        <v>22</v>
      </c>
      <c r="E47">
        <v>10</v>
      </c>
      <c r="F47" t="s">
        <v>4</v>
      </c>
    </row>
    <row r="48" spans="1:6" x14ac:dyDescent="0.25">
      <c r="A48" t="s">
        <v>1</v>
      </c>
      <c r="B48">
        <v>25</v>
      </c>
      <c r="C48">
        <v>8</v>
      </c>
      <c r="D48">
        <v>22</v>
      </c>
      <c r="E48">
        <v>10</v>
      </c>
      <c r="F48" t="s">
        <v>4</v>
      </c>
    </row>
    <row r="49" spans="1:6" x14ac:dyDescent="0.25">
      <c r="A49" t="s">
        <v>2</v>
      </c>
      <c r="B49">
        <v>9694</v>
      </c>
      <c r="C49">
        <v>8</v>
      </c>
      <c r="D49">
        <v>22</v>
      </c>
      <c r="E49">
        <v>10</v>
      </c>
      <c r="F49" t="s">
        <v>21</v>
      </c>
    </row>
    <row r="50" spans="1:6" x14ac:dyDescent="0.25">
      <c r="A50" t="s">
        <v>2</v>
      </c>
      <c r="B50">
        <v>9694</v>
      </c>
      <c r="C50">
        <v>8</v>
      </c>
      <c r="D50">
        <v>22</v>
      </c>
      <c r="E50">
        <v>10</v>
      </c>
      <c r="F50" t="s">
        <v>21</v>
      </c>
    </row>
    <row r="51" spans="1:6" x14ac:dyDescent="0.25">
      <c r="A51" t="s">
        <v>1</v>
      </c>
      <c r="B51">
        <v>9332</v>
      </c>
      <c r="C51">
        <v>8</v>
      </c>
      <c r="D51">
        <v>22</v>
      </c>
      <c r="E51">
        <v>10</v>
      </c>
      <c r="F51" t="s">
        <v>21</v>
      </c>
    </row>
    <row r="52" spans="1:6" x14ac:dyDescent="0.25">
      <c r="A52" t="s">
        <v>1</v>
      </c>
      <c r="B52">
        <v>5013</v>
      </c>
      <c r="C52">
        <v>8</v>
      </c>
      <c r="D52">
        <v>22</v>
      </c>
      <c r="E52">
        <v>10</v>
      </c>
      <c r="F52" t="s">
        <v>21</v>
      </c>
    </row>
    <row r="53" spans="1:6" x14ac:dyDescent="0.25">
      <c r="A53" t="s">
        <v>1</v>
      </c>
      <c r="B53">
        <v>982</v>
      </c>
      <c r="C53">
        <v>12</v>
      </c>
      <c r="D53">
        <v>22</v>
      </c>
      <c r="E53">
        <v>10</v>
      </c>
      <c r="F53" t="s">
        <v>4</v>
      </c>
    </row>
    <row r="54" spans="1:6" x14ac:dyDescent="0.25">
      <c r="A54" t="s">
        <v>7</v>
      </c>
      <c r="B54">
        <v>10000</v>
      </c>
      <c r="C54">
        <v>11</v>
      </c>
      <c r="D54">
        <v>22</v>
      </c>
      <c r="E54">
        <v>10</v>
      </c>
      <c r="F54" t="s">
        <v>21</v>
      </c>
    </row>
    <row r="55" spans="1:6" x14ac:dyDescent="0.25">
      <c r="A55" t="s">
        <v>7</v>
      </c>
      <c r="B55">
        <v>8077</v>
      </c>
      <c r="C55">
        <v>11</v>
      </c>
      <c r="D55">
        <v>22</v>
      </c>
      <c r="E55">
        <v>10</v>
      </c>
      <c r="F55" t="s">
        <v>21</v>
      </c>
    </row>
    <row r="56" spans="1:6" x14ac:dyDescent="0.25">
      <c r="A56" t="s">
        <v>7</v>
      </c>
      <c r="B56">
        <v>10000</v>
      </c>
      <c r="C56">
        <v>11</v>
      </c>
      <c r="D56">
        <v>22</v>
      </c>
      <c r="E56">
        <v>10</v>
      </c>
      <c r="F56" t="s">
        <v>21</v>
      </c>
    </row>
    <row r="57" spans="1:6" x14ac:dyDescent="0.25">
      <c r="A57" t="s">
        <v>7</v>
      </c>
      <c r="B57">
        <v>8077</v>
      </c>
      <c r="C57">
        <v>11</v>
      </c>
      <c r="D57">
        <v>22</v>
      </c>
      <c r="E57">
        <v>10</v>
      </c>
      <c r="F57" t="s">
        <v>21</v>
      </c>
    </row>
    <row r="58" spans="1:6" x14ac:dyDescent="0.25">
      <c r="A58" t="s">
        <v>1</v>
      </c>
      <c r="B58">
        <v>5317</v>
      </c>
      <c r="C58">
        <v>12</v>
      </c>
      <c r="D58">
        <v>22</v>
      </c>
      <c r="E58">
        <v>10</v>
      </c>
      <c r="F58" t="s">
        <v>21</v>
      </c>
    </row>
    <row r="59" spans="1:6" x14ac:dyDescent="0.25">
      <c r="A59" t="s">
        <v>1</v>
      </c>
      <c r="B59">
        <v>9332</v>
      </c>
      <c r="C59">
        <v>12</v>
      </c>
      <c r="D59">
        <v>22</v>
      </c>
      <c r="E59">
        <v>10</v>
      </c>
      <c r="F59" t="s">
        <v>21</v>
      </c>
    </row>
    <row r="60" spans="1:6" x14ac:dyDescent="0.25">
      <c r="A60" t="s">
        <v>1</v>
      </c>
      <c r="B60">
        <v>3024</v>
      </c>
      <c r="C60">
        <v>12</v>
      </c>
      <c r="D60">
        <v>22</v>
      </c>
      <c r="E60">
        <v>10</v>
      </c>
      <c r="F60" t="s">
        <v>4</v>
      </c>
    </row>
    <row r="61" spans="1:6" x14ac:dyDescent="0.25">
      <c r="A61" t="s">
        <v>1</v>
      </c>
      <c r="B61">
        <v>9224</v>
      </c>
      <c r="C61">
        <v>13</v>
      </c>
      <c r="D61">
        <v>22</v>
      </c>
      <c r="E61">
        <v>10</v>
      </c>
      <c r="F61" t="s">
        <v>21</v>
      </c>
    </row>
    <row r="62" spans="1:6" x14ac:dyDescent="0.25">
      <c r="A62" t="s">
        <v>0</v>
      </c>
      <c r="B62">
        <v>15307</v>
      </c>
      <c r="C62">
        <v>13</v>
      </c>
      <c r="D62">
        <v>22</v>
      </c>
      <c r="E62">
        <v>10</v>
      </c>
      <c r="F62" t="s">
        <v>5</v>
      </c>
    </row>
    <row r="63" spans="1:6" x14ac:dyDescent="0.25">
      <c r="A63" t="s">
        <v>0</v>
      </c>
      <c r="B63">
        <v>12317</v>
      </c>
      <c r="C63">
        <v>13</v>
      </c>
      <c r="D63">
        <v>22</v>
      </c>
      <c r="E63">
        <v>10</v>
      </c>
      <c r="F63" t="s">
        <v>21</v>
      </c>
    </row>
    <row r="64" spans="1:6" x14ac:dyDescent="0.25">
      <c r="A64" t="s">
        <v>0</v>
      </c>
      <c r="B64">
        <v>22690</v>
      </c>
      <c r="C64">
        <v>13</v>
      </c>
      <c r="D64">
        <v>22</v>
      </c>
      <c r="E64">
        <v>10</v>
      </c>
      <c r="F64" t="s">
        <v>21</v>
      </c>
    </row>
    <row r="65" spans="1:6" x14ac:dyDescent="0.25">
      <c r="A65" t="s">
        <v>0</v>
      </c>
      <c r="B65">
        <v>19890</v>
      </c>
      <c r="C65">
        <v>13</v>
      </c>
      <c r="D65">
        <v>22</v>
      </c>
      <c r="E65">
        <v>10</v>
      </c>
      <c r="F65" t="s">
        <v>21</v>
      </c>
    </row>
    <row r="66" spans="1:6" x14ac:dyDescent="0.25">
      <c r="A66" t="s">
        <v>2</v>
      </c>
      <c r="B66">
        <v>2567</v>
      </c>
      <c r="C66">
        <v>14</v>
      </c>
      <c r="D66">
        <v>22</v>
      </c>
      <c r="E66">
        <v>10</v>
      </c>
      <c r="F66" t="s">
        <v>4</v>
      </c>
    </row>
    <row r="67" spans="1:6" x14ac:dyDescent="0.25">
      <c r="A67" t="s">
        <v>2</v>
      </c>
      <c r="B67">
        <v>13118</v>
      </c>
      <c r="C67">
        <v>15</v>
      </c>
      <c r="D67">
        <v>22</v>
      </c>
      <c r="E67">
        <v>10</v>
      </c>
      <c r="F67" t="s">
        <v>21</v>
      </c>
    </row>
    <row r="68" spans="1:6" x14ac:dyDescent="0.25">
      <c r="A68" t="s">
        <v>2</v>
      </c>
      <c r="B68">
        <v>13118</v>
      </c>
      <c r="C68">
        <v>15</v>
      </c>
      <c r="D68">
        <v>22</v>
      </c>
      <c r="E68">
        <v>10</v>
      </c>
      <c r="F68" t="s">
        <v>21</v>
      </c>
    </row>
    <row r="69" spans="1:6" x14ac:dyDescent="0.25">
      <c r="A69" t="s">
        <v>2</v>
      </c>
      <c r="B69">
        <v>4416</v>
      </c>
      <c r="C69">
        <v>18</v>
      </c>
      <c r="D69">
        <v>22</v>
      </c>
      <c r="E69">
        <v>10</v>
      </c>
      <c r="F69" t="s">
        <v>21</v>
      </c>
    </row>
    <row r="70" spans="1:6" x14ac:dyDescent="0.25">
      <c r="A70" t="s">
        <v>2</v>
      </c>
      <c r="B70">
        <v>7296</v>
      </c>
      <c r="C70">
        <v>18</v>
      </c>
      <c r="D70">
        <v>22</v>
      </c>
      <c r="E70">
        <v>10</v>
      </c>
      <c r="F70" t="s">
        <v>21</v>
      </c>
    </row>
    <row r="71" spans="1:6" x14ac:dyDescent="0.25">
      <c r="A71" t="s">
        <v>0</v>
      </c>
      <c r="B71">
        <v>17010</v>
      </c>
      <c r="C71">
        <v>18</v>
      </c>
      <c r="D71">
        <v>22</v>
      </c>
      <c r="E71">
        <v>10</v>
      </c>
      <c r="F71" t="s">
        <v>21</v>
      </c>
    </row>
    <row r="72" spans="1:6" x14ac:dyDescent="0.25">
      <c r="A72" t="s">
        <v>0</v>
      </c>
      <c r="B72">
        <v>14317</v>
      </c>
      <c r="C72">
        <v>18</v>
      </c>
      <c r="D72">
        <v>22</v>
      </c>
      <c r="E72">
        <v>10</v>
      </c>
      <c r="F72" t="s">
        <v>21</v>
      </c>
    </row>
    <row r="73" spans="1:6" x14ac:dyDescent="0.25">
      <c r="A73" t="s">
        <v>1</v>
      </c>
      <c r="B73">
        <v>11197</v>
      </c>
      <c r="C73">
        <v>18</v>
      </c>
      <c r="D73">
        <v>22</v>
      </c>
      <c r="E73">
        <v>10</v>
      </c>
      <c r="F73" t="s">
        <v>21</v>
      </c>
    </row>
    <row r="74" spans="1:6" x14ac:dyDescent="0.25">
      <c r="A74" t="s">
        <v>0</v>
      </c>
      <c r="B74">
        <v>11537</v>
      </c>
      <c r="C74">
        <v>8</v>
      </c>
      <c r="D74">
        <v>23</v>
      </c>
      <c r="E74">
        <v>10</v>
      </c>
      <c r="F74" t="s">
        <v>21</v>
      </c>
    </row>
    <row r="75" spans="1:6" x14ac:dyDescent="0.25">
      <c r="A75" t="s">
        <v>0</v>
      </c>
      <c r="B75">
        <v>11107</v>
      </c>
      <c r="C75">
        <v>8</v>
      </c>
      <c r="D75">
        <v>23</v>
      </c>
      <c r="E75">
        <v>10</v>
      </c>
      <c r="F75" t="s">
        <v>21</v>
      </c>
    </row>
    <row r="76" spans="1:6" x14ac:dyDescent="0.25">
      <c r="A76" t="s">
        <v>0</v>
      </c>
      <c r="B76">
        <v>15454</v>
      </c>
      <c r="C76">
        <v>8</v>
      </c>
      <c r="D76">
        <v>23</v>
      </c>
      <c r="E76">
        <v>10</v>
      </c>
      <c r="F76" t="s">
        <v>21</v>
      </c>
    </row>
    <row r="77" spans="1:6" x14ac:dyDescent="0.25">
      <c r="A77" t="s">
        <v>0</v>
      </c>
      <c r="B77">
        <v>18348</v>
      </c>
      <c r="C77">
        <v>8</v>
      </c>
      <c r="D77">
        <v>23</v>
      </c>
      <c r="E77">
        <v>10</v>
      </c>
      <c r="F77" t="s">
        <v>21</v>
      </c>
    </row>
    <row r="78" spans="1:6" x14ac:dyDescent="0.25">
      <c r="A78" t="s">
        <v>1</v>
      </c>
      <c r="B78">
        <v>1942</v>
      </c>
      <c r="C78">
        <v>9</v>
      </c>
      <c r="D78">
        <v>23</v>
      </c>
      <c r="E78">
        <v>10</v>
      </c>
      <c r="F78" t="s">
        <v>21</v>
      </c>
    </row>
    <row r="79" spans="1:6" x14ac:dyDescent="0.25">
      <c r="A79" t="s">
        <v>1</v>
      </c>
      <c r="B79">
        <v>167</v>
      </c>
      <c r="C79">
        <v>9</v>
      </c>
      <c r="D79">
        <v>23</v>
      </c>
      <c r="E79">
        <v>10</v>
      </c>
      <c r="F79" t="s">
        <v>4</v>
      </c>
    </row>
    <row r="80" spans="1:6" x14ac:dyDescent="0.25">
      <c r="A80" t="s">
        <v>1</v>
      </c>
      <c r="B80">
        <v>6329</v>
      </c>
      <c r="C80">
        <v>9</v>
      </c>
      <c r="D80">
        <v>23</v>
      </c>
      <c r="E80">
        <v>10</v>
      </c>
      <c r="F80" t="s">
        <v>21</v>
      </c>
    </row>
    <row r="81" spans="1:6" x14ac:dyDescent="0.25">
      <c r="A81" t="s">
        <v>2</v>
      </c>
      <c r="B81">
        <v>4380</v>
      </c>
      <c r="C81">
        <v>10</v>
      </c>
      <c r="D81">
        <v>23</v>
      </c>
      <c r="E81">
        <v>10</v>
      </c>
      <c r="F81" t="s">
        <v>21</v>
      </c>
    </row>
    <row r="82" spans="1:6" x14ac:dyDescent="0.25">
      <c r="A82" t="s">
        <v>2</v>
      </c>
      <c r="B82">
        <v>4380</v>
      </c>
      <c r="C82">
        <v>10</v>
      </c>
      <c r="D82">
        <v>23</v>
      </c>
      <c r="E82">
        <v>10</v>
      </c>
      <c r="F82" t="s">
        <v>21</v>
      </c>
    </row>
    <row r="83" spans="1:6" x14ac:dyDescent="0.25">
      <c r="A83" t="s">
        <v>1</v>
      </c>
      <c r="B83">
        <v>6549</v>
      </c>
      <c r="C83">
        <v>10</v>
      </c>
      <c r="D83">
        <v>23</v>
      </c>
      <c r="E83">
        <v>10</v>
      </c>
      <c r="F83" t="s">
        <v>21</v>
      </c>
    </row>
    <row r="84" spans="1:6" x14ac:dyDescent="0.25">
      <c r="A84" t="s">
        <v>1</v>
      </c>
      <c r="B84">
        <v>1306</v>
      </c>
      <c r="C84">
        <v>10</v>
      </c>
      <c r="D84">
        <v>23</v>
      </c>
      <c r="E84">
        <v>10</v>
      </c>
      <c r="F84" t="s">
        <v>4</v>
      </c>
    </row>
    <row r="85" spans="1:6" x14ac:dyDescent="0.25">
      <c r="A85" t="s">
        <v>0</v>
      </c>
      <c r="B85">
        <v>1523</v>
      </c>
      <c r="C85">
        <v>10</v>
      </c>
      <c r="D85">
        <v>23</v>
      </c>
      <c r="E85">
        <v>10</v>
      </c>
      <c r="F85" t="s">
        <v>4</v>
      </c>
    </row>
    <row r="86" spans="1:6" x14ac:dyDescent="0.25">
      <c r="A86" t="s">
        <v>1</v>
      </c>
      <c r="B86">
        <v>771</v>
      </c>
      <c r="C86">
        <v>11</v>
      </c>
      <c r="D86">
        <v>23</v>
      </c>
      <c r="E86">
        <v>10</v>
      </c>
      <c r="F86" t="s">
        <v>4</v>
      </c>
    </row>
    <row r="87" spans="1:6" x14ac:dyDescent="0.25">
      <c r="A87" t="s">
        <v>0</v>
      </c>
      <c r="B87">
        <v>13763</v>
      </c>
      <c r="C87">
        <v>12</v>
      </c>
      <c r="D87">
        <v>23</v>
      </c>
      <c r="E87">
        <v>10</v>
      </c>
      <c r="F87" t="s">
        <v>21</v>
      </c>
    </row>
    <row r="88" spans="1:6" x14ac:dyDescent="0.25">
      <c r="A88" t="s">
        <v>0</v>
      </c>
      <c r="B88">
        <v>22631</v>
      </c>
      <c r="C88">
        <v>12</v>
      </c>
      <c r="D88">
        <v>23</v>
      </c>
      <c r="E88">
        <v>10</v>
      </c>
      <c r="F88" t="s">
        <v>21</v>
      </c>
    </row>
    <row r="89" spans="1:6" x14ac:dyDescent="0.25">
      <c r="A89" t="s">
        <v>0</v>
      </c>
      <c r="B89">
        <v>12890</v>
      </c>
      <c r="C89">
        <v>12</v>
      </c>
      <c r="D89">
        <v>23</v>
      </c>
      <c r="E89">
        <v>10</v>
      </c>
      <c r="F89" t="s">
        <v>21</v>
      </c>
    </row>
    <row r="90" spans="1:6" x14ac:dyDescent="0.25">
      <c r="A90" t="s">
        <v>0</v>
      </c>
      <c r="B90">
        <v>13763</v>
      </c>
      <c r="C90">
        <v>12</v>
      </c>
      <c r="D90">
        <v>23</v>
      </c>
      <c r="E90">
        <v>10</v>
      </c>
      <c r="F90" t="s">
        <v>21</v>
      </c>
    </row>
    <row r="91" spans="1:6" x14ac:dyDescent="0.25">
      <c r="A91" t="s">
        <v>0</v>
      </c>
      <c r="B91">
        <v>22631</v>
      </c>
      <c r="C91">
        <v>12</v>
      </c>
      <c r="D91">
        <v>23</v>
      </c>
      <c r="E91">
        <v>10</v>
      </c>
      <c r="F91" t="s">
        <v>21</v>
      </c>
    </row>
    <row r="92" spans="1:6" x14ac:dyDescent="0.25">
      <c r="A92" t="s">
        <v>0</v>
      </c>
      <c r="B92">
        <v>12890</v>
      </c>
      <c r="C92">
        <v>12</v>
      </c>
      <c r="D92">
        <v>23</v>
      </c>
      <c r="E92">
        <v>10</v>
      </c>
      <c r="F92" t="s">
        <v>21</v>
      </c>
    </row>
    <row r="93" spans="1:6" x14ac:dyDescent="0.25">
      <c r="A93" t="s">
        <v>1</v>
      </c>
      <c r="B93">
        <v>1198</v>
      </c>
      <c r="C93">
        <v>12</v>
      </c>
      <c r="D93">
        <v>23</v>
      </c>
      <c r="E93">
        <v>10</v>
      </c>
      <c r="F93" t="s">
        <v>4</v>
      </c>
    </row>
    <row r="94" spans="1:6" x14ac:dyDescent="0.25">
      <c r="A94" t="s">
        <v>0</v>
      </c>
      <c r="B94">
        <v>17680</v>
      </c>
      <c r="C94">
        <v>12</v>
      </c>
      <c r="D94">
        <v>23</v>
      </c>
      <c r="E94">
        <v>10</v>
      </c>
      <c r="F94" t="s">
        <v>21</v>
      </c>
    </row>
    <row r="95" spans="1:6" x14ac:dyDescent="0.25">
      <c r="A95" t="s">
        <v>0</v>
      </c>
      <c r="B95">
        <v>10979</v>
      </c>
      <c r="C95">
        <v>12</v>
      </c>
      <c r="D95">
        <v>23</v>
      </c>
      <c r="E95">
        <v>10</v>
      </c>
      <c r="F95" t="s">
        <v>21</v>
      </c>
    </row>
    <row r="96" spans="1:6" x14ac:dyDescent="0.25">
      <c r="A96" t="s">
        <v>0</v>
      </c>
      <c r="B96">
        <v>15918</v>
      </c>
      <c r="C96">
        <v>12</v>
      </c>
      <c r="D96">
        <v>23</v>
      </c>
      <c r="E96">
        <v>10</v>
      </c>
      <c r="F96" t="s">
        <v>21</v>
      </c>
    </row>
    <row r="97" spans="1:6" x14ac:dyDescent="0.25">
      <c r="A97" t="s">
        <v>2</v>
      </c>
      <c r="B97">
        <v>4354</v>
      </c>
      <c r="C97">
        <v>13</v>
      </c>
      <c r="D97">
        <v>23</v>
      </c>
      <c r="E97">
        <v>10</v>
      </c>
      <c r="F97" t="s">
        <v>21</v>
      </c>
    </row>
    <row r="98" spans="1:6" x14ac:dyDescent="0.25">
      <c r="A98" t="s">
        <v>2</v>
      </c>
      <c r="B98">
        <v>4329</v>
      </c>
      <c r="C98">
        <v>15</v>
      </c>
      <c r="D98">
        <v>23</v>
      </c>
      <c r="E98">
        <v>10</v>
      </c>
      <c r="F98" t="s">
        <v>21</v>
      </c>
    </row>
    <row r="99" spans="1:6" x14ac:dyDescent="0.25">
      <c r="A99" t="s">
        <v>1</v>
      </c>
      <c r="B99">
        <v>2368</v>
      </c>
      <c r="C99">
        <v>15</v>
      </c>
      <c r="D99">
        <v>23</v>
      </c>
      <c r="E99">
        <v>10</v>
      </c>
      <c r="F99" t="s">
        <v>21</v>
      </c>
    </row>
    <row r="100" spans="1:6" x14ac:dyDescent="0.25">
      <c r="A100" t="s">
        <v>1</v>
      </c>
      <c r="B100">
        <v>2368</v>
      </c>
      <c r="C100">
        <v>17</v>
      </c>
      <c r="D100">
        <v>23</v>
      </c>
      <c r="E100">
        <v>10</v>
      </c>
      <c r="F100" t="s">
        <v>21</v>
      </c>
    </row>
    <row r="101" spans="1:6" x14ac:dyDescent="0.25">
      <c r="A101" t="s">
        <v>2</v>
      </c>
      <c r="B101">
        <v>12808</v>
      </c>
      <c r="C101">
        <v>17</v>
      </c>
      <c r="D101">
        <v>23</v>
      </c>
      <c r="E101">
        <v>10</v>
      </c>
      <c r="F101" t="s">
        <v>21</v>
      </c>
    </row>
    <row r="102" spans="1:6" x14ac:dyDescent="0.25">
      <c r="A102" t="s">
        <v>1</v>
      </c>
      <c r="B102">
        <v>8299</v>
      </c>
      <c r="C102">
        <v>18</v>
      </c>
      <c r="D102">
        <v>23</v>
      </c>
      <c r="E102">
        <v>10</v>
      </c>
      <c r="F102" t="s">
        <v>21</v>
      </c>
    </row>
    <row r="103" spans="1:6" x14ac:dyDescent="0.25">
      <c r="A103" t="s">
        <v>0</v>
      </c>
      <c r="B103">
        <v>18140</v>
      </c>
      <c r="C103">
        <v>8</v>
      </c>
      <c r="D103">
        <v>24</v>
      </c>
      <c r="E103">
        <v>10</v>
      </c>
      <c r="F103" t="s">
        <v>21</v>
      </c>
    </row>
    <row r="104" spans="1:6" x14ac:dyDescent="0.25">
      <c r="A104" t="s">
        <v>0</v>
      </c>
      <c r="B104">
        <v>13951</v>
      </c>
      <c r="C104">
        <v>8</v>
      </c>
      <c r="D104">
        <v>24</v>
      </c>
      <c r="E104">
        <v>10</v>
      </c>
      <c r="F104" t="s">
        <v>21</v>
      </c>
    </row>
    <row r="105" spans="1:6" x14ac:dyDescent="0.25">
      <c r="A105" t="s">
        <v>0</v>
      </c>
      <c r="B105">
        <v>14991</v>
      </c>
      <c r="C105">
        <v>8</v>
      </c>
      <c r="D105">
        <v>24</v>
      </c>
      <c r="E105">
        <v>10</v>
      </c>
      <c r="F105" t="s">
        <v>21</v>
      </c>
    </row>
    <row r="106" spans="1:6" x14ac:dyDescent="0.25">
      <c r="A106" t="s">
        <v>0</v>
      </c>
      <c r="B106">
        <v>10486</v>
      </c>
      <c r="C106">
        <v>8</v>
      </c>
      <c r="D106">
        <v>24</v>
      </c>
      <c r="E106">
        <v>10</v>
      </c>
      <c r="F106" t="s">
        <v>21</v>
      </c>
    </row>
    <row r="107" spans="1:6" x14ac:dyDescent="0.25">
      <c r="A107" t="s">
        <v>1</v>
      </c>
      <c r="B107">
        <v>8053</v>
      </c>
      <c r="C107">
        <v>8</v>
      </c>
      <c r="D107">
        <v>24</v>
      </c>
      <c r="E107">
        <v>10</v>
      </c>
      <c r="F107" t="s">
        <v>21</v>
      </c>
    </row>
    <row r="108" spans="1:6" x14ac:dyDescent="0.25">
      <c r="A108" t="s">
        <v>1</v>
      </c>
      <c r="B108">
        <v>19</v>
      </c>
      <c r="C108">
        <v>8</v>
      </c>
      <c r="D108">
        <v>24</v>
      </c>
      <c r="E108">
        <v>10</v>
      </c>
      <c r="F108" t="s">
        <v>4</v>
      </c>
    </row>
    <row r="109" spans="1:6" x14ac:dyDescent="0.25">
      <c r="A109" t="s">
        <v>2</v>
      </c>
      <c r="B109">
        <v>15606</v>
      </c>
      <c r="C109">
        <v>8</v>
      </c>
      <c r="D109">
        <v>24</v>
      </c>
      <c r="E109">
        <v>10</v>
      </c>
      <c r="F109" t="s">
        <v>21</v>
      </c>
    </row>
    <row r="110" spans="1:6" x14ac:dyDescent="0.25">
      <c r="A110" t="s">
        <v>2</v>
      </c>
      <c r="B110">
        <v>15606</v>
      </c>
      <c r="C110">
        <v>8</v>
      </c>
      <c r="D110">
        <v>24</v>
      </c>
      <c r="E110">
        <v>10</v>
      </c>
      <c r="F110" t="s">
        <v>21</v>
      </c>
    </row>
    <row r="111" spans="1:6" x14ac:dyDescent="0.25">
      <c r="A111" t="s">
        <v>1</v>
      </c>
      <c r="B111">
        <v>19</v>
      </c>
      <c r="C111">
        <v>8</v>
      </c>
      <c r="D111">
        <v>24</v>
      </c>
      <c r="E111">
        <v>10</v>
      </c>
      <c r="F111" t="s">
        <v>4</v>
      </c>
    </row>
    <row r="112" spans="1:6" x14ac:dyDescent="0.25">
      <c r="A112" t="s">
        <v>1</v>
      </c>
      <c r="B112">
        <v>14645</v>
      </c>
      <c r="C112">
        <v>10</v>
      </c>
      <c r="D112">
        <v>24</v>
      </c>
      <c r="E112">
        <v>10</v>
      </c>
      <c r="F112" t="s">
        <v>21</v>
      </c>
    </row>
    <row r="113" spans="1:6" x14ac:dyDescent="0.25">
      <c r="A113" t="s">
        <v>1</v>
      </c>
      <c r="B113">
        <v>8404</v>
      </c>
      <c r="C113">
        <v>10</v>
      </c>
      <c r="D113">
        <v>24</v>
      </c>
      <c r="E113">
        <v>10</v>
      </c>
      <c r="F113" t="s">
        <v>21</v>
      </c>
    </row>
    <row r="114" spans="1:6" x14ac:dyDescent="0.25">
      <c r="A114" t="s">
        <v>7</v>
      </c>
      <c r="B114">
        <v>5000</v>
      </c>
      <c r="C114">
        <v>12</v>
      </c>
      <c r="D114">
        <v>24</v>
      </c>
      <c r="E114">
        <v>10</v>
      </c>
      <c r="F114" t="s">
        <v>21</v>
      </c>
    </row>
    <row r="115" spans="1:6" x14ac:dyDescent="0.25">
      <c r="A115" t="s">
        <v>7</v>
      </c>
      <c r="B115">
        <v>5000</v>
      </c>
      <c r="C115">
        <v>12</v>
      </c>
      <c r="D115">
        <v>24</v>
      </c>
      <c r="E115">
        <v>10</v>
      </c>
      <c r="F115" t="s">
        <v>21</v>
      </c>
    </row>
    <row r="116" spans="1:6" x14ac:dyDescent="0.25">
      <c r="A116" t="s">
        <v>7</v>
      </c>
      <c r="B116">
        <v>7560</v>
      </c>
      <c r="C116">
        <v>12</v>
      </c>
      <c r="D116">
        <v>24</v>
      </c>
      <c r="E116">
        <v>10</v>
      </c>
      <c r="F116" t="s">
        <v>21</v>
      </c>
    </row>
    <row r="117" spans="1:6" x14ac:dyDescent="0.25">
      <c r="A117" t="s">
        <v>7</v>
      </c>
      <c r="B117">
        <v>5000</v>
      </c>
      <c r="C117">
        <v>12</v>
      </c>
      <c r="D117">
        <v>24</v>
      </c>
      <c r="E117">
        <v>10</v>
      </c>
      <c r="F117" t="s">
        <v>21</v>
      </c>
    </row>
    <row r="118" spans="1:6" x14ac:dyDescent="0.25">
      <c r="A118" t="s">
        <v>7</v>
      </c>
      <c r="B118">
        <v>5000</v>
      </c>
      <c r="C118">
        <v>12</v>
      </c>
      <c r="D118">
        <v>24</v>
      </c>
      <c r="E118">
        <v>10</v>
      </c>
      <c r="F118" t="s">
        <v>21</v>
      </c>
    </row>
    <row r="119" spans="1:6" x14ac:dyDescent="0.25">
      <c r="A119" t="s">
        <v>7</v>
      </c>
      <c r="B119">
        <v>7560</v>
      </c>
      <c r="C119">
        <v>12</v>
      </c>
      <c r="D119">
        <v>24</v>
      </c>
      <c r="E119">
        <v>10</v>
      </c>
      <c r="F119" t="s">
        <v>21</v>
      </c>
    </row>
    <row r="120" spans="1:6" x14ac:dyDescent="0.25">
      <c r="A120" t="s">
        <v>7</v>
      </c>
      <c r="B120">
        <v>5000</v>
      </c>
      <c r="C120">
        <v>12</v>
      </c>
      <c r="D120">
        <v>24</v>
      </c>
      <c r="E120">
        <v>10</v>
      </c>
      <c r="F120" t="s">
        <v>21</v>
      </c>
    </row>
    <row r="121" spans="1:6" x14ac:dyDescent="0.25">
      <c r="A121" t="s">
        <v>7</v>
      </c>
      <c r="B121">
        <v>5000</v>
      </c>
      <c r="C121">
        <v>12</v>
      </c>
      <c r="D121">
        <v>24</v>
      </c>
      <c r="E121">
        <v>10</v>
      </c>
      <c r="F121" t="s">
        <v>21</v>
      </c>
    </row>
    <row r="122" spans="1:6" x14ac:dyDescent="0.25">
      <c r="A122" t="s">
        <v>1</v>
      </c>
      <c r="B122">
        <v>1622</v>
      </c>
      <c r="C122">
        <v>12</v>
      </c>
      <c r="D122">
        <v>24</v>
      </c>
      <c r="E122">
        <v>10</v>
      </c>
      <c r="F122" t="s">
        <v>4</v>
      </c>
    </row>
    <row r="123" spans="1:6" x14ac:dyDescent="0.25">
      <c r="A123" t="s">
        <v>1</v>
      </c>
      <c r="B123">
        <v>4298</v>
      </c>
      <c r="C123">
        <v>13</v>
      </c>
      <c r="D123">
        <v>24</v>
      </c>
      <c r="E123">
        <v>10</v>
      </c>
      <c r="F123" t="s">
        <v>21</v>
      </c>
    </row>
    <row r="124" spans="1:6" x14ac:dyDescent="0.25">
      <c r="A124" t="s">
        <v>9</v>
      </c>
      <c r="B124">
        <v>808</v>
      </c>
      <c r="C124">
        <v>13</v>
      </c>
      <c r="D124">
        <v>24</v>
      </c>
      <c r="E124">
        <v>10</v>
      </c>
      <c r="F124" t="s">
        <v>21</v>
      </c>
    </row>
    <row r="125" spans="1:6" x14ac:dyDescent="0.25">
      <c r="A125" t="s">
        <v>1</v>
      </c>
      <c r="B125">
        <v>14802</v>
      </c>
      <c r="C125">
        <v>13</v>
      </c>
      <c r="D125">
        <v>24</v>
      </c>
      <c r="E125">
        <v>10</v>
      </c>
      <c r="F125" t="s">
        <v>21</v>
      </c>
    </row>
    <row r="126" spans="1:6" x14ac:dyDescent="0.25">
      <c r="A126" t="s">
        <v>2</v>
      </c>
      <c r="B126">
        <v>15403</v>
      </c>
      <c r="C126">
        <v>14</v>
      </c>
      <c r="D126">
        <v>24</v>
      </c>
      <c r="E126">
        <v>10</v>
      </c>
      <c r="F126" t="s">
        <v>21</v>
      </c>
    </row>
    <row r="127" spans="1:6" x14ac:dyDescent="0.25">
      <c r="A127" t="s">
        <v>2</v>
      </c>
      <c r="B127">
        <v>15403</v>
      </c>
      <c r="C127">
        <v>14</v>
      </c>
      <c r="D127">
        <v>24</v>
      </c>
      <c r="E127">
        <v>10</v>
      </c>
      <c r="F127" t="s">
        <v>21</v>
      </c>
    </row>
    <row r="128" spans="1:6" x14ac:dyDescent="0.25">
      <c r="A128" t="s">
        <v>0</v>
      </c>
      <c r="B128">
        <v>21791</v>
      </c>
      <c r="C128">
        <v>14</v>
      </c>
      <c r="D128">
        <v>24</v>
      </c>
      <c r="E128">
        <v>10</v>
      </c>
      <c r="F128" t="s">
        <v>21</v>
      </c>
    </row>
    <row r="129" spans="1:6" x14ac:dyDescent="0.25">
      <c r="A129" t="s">
        <v>0</v>
      </c>
      <c r="B129">
        <v>21730</v>
      </c>
      <c r="C129">
        <v>14</v>
      </c>
      <c r="D129">
        <v>24</v>
      </c>
      <c r="E129">
        <v>10</v>
      </c>
      <c r="F129" t="s">
        <v>21</v>
      </c>
    </row>
    <row r="130" spans="1:6" x14ac:dyDescent="0.25">
      <c r="A130" t="s">
        <v>0</v>
      </c>
      <c r="B130">
        <v>21791</v>
      </c>
      <c r="C130">
        <v>14</v>
      </c>
      <c r="D130">
        <v>24</v>
      </c>
      <c r="E130">
        <v>10</v>
      </c>
      <c r="F130" t="s">
        <v>21</v>
      </c>
    </row>
    <row r="131" spans="1:6" x14ac:dyDescent="0.25">
      <c r="A131" t="s">
        <v>0</v>
      </c>
      <c r="B131">
        <v>21730</v>
      </c>
      <c r="C131">
        <v>14</v>
      </c>
      <c r="D131">
        <v>24</v>
      </c>
      <c r="E131">
        <v>10</v>
      </c>
      <c r="F131" t="s">
        <v>21</v>
      </c>
    </row>
    <row r="132" spans="1:6" x14ac:dyDescent="0.25">
      <c r="A132" t="s">
        <v>0</v>
      </c>
      <c r="B132">
        <v>18521</v>
      </c>
      <c r="C132">
        <v>15</v>
      </c>
      <c r="D132">
        <v>24</v>
      </c>
      <c r="E132">
        <v>10</v>
      </c>
      <c r="F132" t="s">
        <v>21</v>
      </c>
    </row>
    <row r="133" spans="1:6" x14ac:dyDescent="0.25">
      <c r="A133" t="s">
        <v>0</v>
      </c>
      <c r="B133">
        <v>27418</v>
      </c>
      <c r="C133">
        <v>15</v>
      </c>
      <c r="D133">
        <v>24</v>
      </c>
      <c r="E133">
        <v>10</v>
      </c>
      <c r="F133" t="s">
        <v>21</v>
      </c>
    </row>
    <row r="134" spans="1:6" x14ac:dyDescent="0.25">
      <c r="A134" t="s">
        <v>0</v>
      </c>
      <c r="B134">
        <v>27418</v>
      </c>
      <c r="C134">
        <v>15</v>
      </c>
      <c r="D134">
        <v>24</v>
      </c>
      <c r="E134">
        <v>10</v>
      </c>
      <c r="F134" t="s">
        <v>21</v>
      </c>
    </row>
    <row r="135" spans="1:6" x14ac:dyDescent="0.25">
      <c r="A135" t="s">
        <v>0</v>
      </c>
      <c r="B135">
        <v>18521</v>
      </c>
      <c r="C135">
        <v>15</v>
      </c>
      <c r="D135">
        <v>24</v>
      </c>
      <c r="E135">
        <v>10</v>
      </c>
      <c r="F135" t="s">
        <v>21</v>
      </c>
    </row>
    <row r="136" spans="1:6" x14ac:dyDescent="0.25">
      <c r="A136" t="s">
        <v>2</v>
      </c>
      <c r="B136">
        <v>2383</v>
      </c>
      <c r="C136">
        <v>18</v>
      </c>
      <c r="D136">
        <v>24</v>
      </c>
      <c r="E136">
        <v>10</v>
      </c>
      <c r="F136" t="s">
        <v>4</v>
      </c>
    </row>
    <row r="137" spans="1:6" x14ac:dyDescent="0.25">
      <c r="A137" t="s">
        <v>2</v>
      </c>
      <c r="B137">
        <v>2383</v>
      </c>
      <c r="C137">
        <v>18</v>
      </c>
      <c r="D137">
        <v>24</v>
      </c>
      <c r="E137">
        <v>10</v>
      </c>
      <c r="F137" t="s">
        <v>4</v>
      </c>
    </row>
    <row r="138" spans="1:6" x14ac:dyDescent="0.25">
      <c r="A138" t="s">
        <v>0</v>
      </c>
      <c r="B138">
        <v>19742</v>
      </c>
      <c r="C138">
        <v>17</v>
      </c>
      <c r="D138">
        <v>24</v>
      </c>
      <c r="E138">
        <v>10</v>
      </c>
      <c r="F138" t="s">
        <v>21</v>
      </c>
    </row>
    <row r="139" spans="1:6" x14ac:dyDescent="0.25">
      <c r="A139" t="s">
        <v>0</v>
      </c>
      <c r="B139">
        <v>13986</v>
      </c>
      <c r="C139">
        <v>17</v>
      </c>
      <c r="D139">
        <v>24</v>
      </c>
      <c r="E139">
        <v>10</v>
      </c>
      <c r="F139" t="s">
        <v>21</v>
      </c>
    </row>
    <row r="140" spans="1:6" x14ac:dyDescent="0.25">
      <c r="A140" t="s">
        <v>0</v>
      </c>
      <c r="B140">
        <v>16616</v>
      </c>
      <c r="C140">
        <v>17</v>
      </c>
      <c r="D140">
        <v>24</v>
      </c>
      <c r="E140">
        <v>10</v>
      </c>
      <c r="F140" t="s">
        <v>21</v>
      </c>
    </row>
    <row r="141" spans="1:6" x14ac:dyDescent="0.25">
      <c r="A141" t="s">
        <v>0</v>
      </c>
      <c r="B141">
        <v>13989</v>
      </c>
      <c r="C141">
        <v>17</v>
      </c>
      <c r="D141">
        <v>24</v>
      </c>
      <c r="E141">
        <v>10</v>
      </c>
      <c r="F141" t="s">
        <v>21</v>
      </c>
    </row>
    <row r="142" spans="1:6" x14ac:dyDescent="0.25">
      <c r="A142" t="s">
        <v>0</v>
      </c>
      <c r="B142">
        <v>16619</v>
      </c>
      <c r="C142">
        <v>17</v>
      </c>
      <c r="D142">
        <v>24</v>
      </c>
      <c r="E142">
        <v>10</v>
      </c>
      <c r="F142" t="s">
        <v>21</v>
      </c>
    </row>
    <row r="143" spans="1:6" x14ac:dyDescent="0.25">
      <c r="A143" t="s">
        <v>0</v>
      </c>
      <c r="B143">
        <v>19744</v>
      </c>
      <c r="C143">
        <v>17</v>
      </c>
      <c r="D143">
        <v>24</v>
      </c>
      <c r="E143">
        <v>10</v>
      </c>
      <c r="F143" t="s">
        <v>21</v>
      </c>
    </row>
    <row r="144" spans="1:6" x14ac:dyDescent="0.25">
      <c r="A144" t="s">
        <v>0</v>
      </c>
      <c r="B144">
        <v>5000</v>
      </c>
      <c r="C144">
        <v>18</v>
      </c>
      <c r="D144">
        <v>24</v>
      </c>
      <c r="E144">
        <v>10</v>
      </c>
      <c r="F144" t="s">
        <v>21</v>
      </c>
    </row>
    <row r="145" spans="1:6" x14ac:dyDescent="0.25">
      <c r="A145" t="s">
        <v>0</v>
      </c>
      <c r="B145">
        <v>21679</v>
      </c>
      <c r="C145">
        <v>18</v>
      </c>
      <c r="D145">
        <v>24</v>
      </c>
      <c r="E145">
        <v>10</v>
      </c>
      <c r="F145" t="s">
        <v>5</v>
      </c>
    </row>
    <row r="146" spans="1:6" x14ac:dyDescent="0.25">
      <c r="A146" t="s">
        <v>0</v>
      </c>
      <c r="B146">
        <v>14234</v>
      </c>
      <c r="C146">
        <v>8</v>
      </c>
      <c r="D146">
        <v>25</v>
      </c>
      <c r="E146">
        <v>10</v>
      </c>
      <c r="F146" t="s">
        <v>21</v>
      </c>
    </row>
    <row r="147" spans="1:6" x14ac:dyDescent="0.25">
      <c r="A147" t="s">
        <v>0</v>
      </c>
      <c r="B147">
        <v>25712</v>
      </c>
      <c r="C147">
        <v>8</v>
      </c>
      <c r="D147">
        <v>25</v>
      </c>
      <c r="E147">
        <v>10</v>
      </c>
      <c r="F147" t="s">
        <v>21</v>
      </c>
    </row>
    <row r="148" spans="1:6" x14ac:dyDescent="0.25">
      <c r="A148" t="s">
        <v>0</v>
      </c>
      <c r="B148">
        <v>13795</v>
      </c>
      <c r="C148">
        <v>8</v>
      </c>
      <c r="D148">
        <v>25</v>
      </c>
      <c r="E148">
        <v>10</v>
      </c>
      <c r="F148" t="s">
        <v>21</v>
      </c>
    </row>
    <row r="149" spans="1:6" x14ac:dyDescent="0.25">
      <c r="A149" t="s">
        <v>0</v>
      </c>
      <c r="B149">
        <v>15743</v>
      </c>
      <c r="C149">
        <v>8</v>
      </c>
      <c r="D149">
        <v>25</v>
      </c>
      <c r="E149">
        <v>10</v>
      </c>
      <c r="F149" t="s">
        <v>21</v>
      </c>
    </row>
    <row r="150" spans="1:6" x14ac:dyDescent="0.25">
      <c r="A150" t="s">
        <v>2</v>
      </c>
      <c r="B150">
        <v>9085</v>
      </c>
      <c r="C150">
        <v>8</v>
      </c>
      <c r="D150">
        <v>25</v>
      </c>
      <c r="E150">
        <v>10</v>
      </c>
      <c r="F150" t="s">
        <v>21</v>
      </c>
    </row>
    <row r="151" spans="1:6" x14ac:dyDescent="0.25">
      <c r="A151" t="s">
        <v>2</v>
      </c>
      <c r="B151">
        <v>8075</v>
      </c>
      <c r="C151">
        <v>8</v>
      </c>
      <c r="D151">
        <v>25</v>
      </c>
      <c r="E151">
        <v>10</v>
      </c>
      <c r="F151" t="s">
        <v>21</v>
      </c>
    </row>
    <row r="152" spans="1:6" x14ac:dyDescent="0.25">
      <c r="A152" t="s">
        <v>1</v>
      </c>
      <c r="B152">
        <v>45</v>
      </c>
      <c r="C152">
        <v>8</v>
      </c>
      <c r="D152">
        <v>25</v>
      </c>
      <c r="E152">
        <v>10</v>
      </c>
      <c r="F152" t="s">
        <v>4</v>
      </c>
    </row>
    <row r="153" spans="1:6" x14ac:dyDescent="0.25">
      <c r="A153" t="s">
        <v>1</v>
      </c>
      <c r="B153">
        <v>3003</v>
      </c>
      <c r="C153">
        <v>8</v>
      </c>
      <c r="D153">
        <v>25</v>
      </c>
      <c r="E153">
        <v>10</v>
      </c>
      <c r="F153" t="s">
        <v>21</v>
      </c>
    </row>
    <row r="154" spans="1:6" x14ac:dyDescent="0.25">
      <c r="A154" t="s">
        <v>1</v>
      </c>
      <c r="B154">
        <v>6667</v>
      </c>
      <c r="C154">
        <v>10</v>
      </c>
      <c r="D154">
        <v>25</v>
      </c>
      <c r="E154">
        <v>10</v>
      </c>
      <c r="F154" t="s">
        <v>21</v>
      </c>
    </row>
    <row r="155" spans="1:6" x14ac:dyDescent="0.25">
      <c r="A155" t="s">
        <v>1</v>
      </c>
      <c r="B155">
        <v>14601</v>
      </c>
      <c r="C155">
        <v>13</v>
      </c>
      <c r="D155">
        <v>25</v>
      </c>
      <c r="E155">
        <v>10</v>
      </c>
      <c r="F155" t="s">
        <v>21</v>
      </c>
    </row>
    <row r="156" spans="1:6" x14ac:dyDescent="0.25">
      <c r="A156" t="s">
        <v>0</v>
      </c>
      <c r="B156">
        <v>10634</v>
      </c>
      <c r="C156">
        <v>14</v>
      </c>
      <c r="D156">
        <v>25</v>
      </c>
      <c r="E156">
        <v>10</v>
      </c>
      <c r="F156" t="s">
        <v>21</v>
      </c>
    </row>
    <row r="157" spans="1:6" x14ac:dyDescent="0.25">
      <c r="A157" t="s">
        <v>0</v>
      </c>
      <c r="B157">
        <v>16557</v>
      </c>
      <c r="C157">
        <v>14</v>
      </c>
      <c r="D157">
        <v>25</v>
      </c>
      <c r="E157">
        <v>10</v>
      </c>
      <c r="F157" t="s">
        <v>21</v>
      </c>
    </row>
    <row r="158" spans="1:6" x14ac:dyDescent="0.25">
      <c r="A158" t="s">
        <v>1</v>
      </c>
      <c r="B158">
        <v>5182</v>
      </c>
      <c r="C158">
        <v>15</v>
      </c>
      <c r="D158">
        <v>25</v>
      </c>
      <c r="E158">
        <v>10</v>
      </c>
      <c r="F158" t="s">
        <v>21</v>
      </c>
    </row>
    <row r="159" spans="1:6" x14ac:dyDescent="0.25">
      <c r="A159" t="s">
        <v>2</v>
      </c>
      <c r="B159">
        <v>5915</v>
      </c>
      <c r="C159">
        <v>17</v>
      </c>
      <c r="D159">
        <v>25</v>
      </c>
      <c r="E159">
        <v>10</v>
      </c>
      <c r="F159" t="s">
        <v>4</v>
      </c>
    </row>
    <row r="160" spans="1:6" x14ac:dyDescent="0.25">
      <c r="A160" t="s">
        <v>0</v>
      </c>
      <c r="B160">
        <v>10403</v>
      </c>
      <c r="C160">
        <v>18</v>
      </c>
      <c r="D160">
        <v>25</v>
      </c>
      <c r="E160">
        <v>10</v>
      </c>
      <c r="F160" t="s">
        <v>21</v>
      </c>
    </row>
    <row r="161" spans="1:6" x14ac:dyDescent="0.25">
      <c r="A161" t="s">
        <v>1</v>
      </c>
      <c r="B161">
        <v>1976</v>
      </c>
      <c r="C161">
        <v>9</v>
      </c>
      <c r="D161">
        <v>26</v>
      </c>
      <c r="E161">
        <v>10</v>
      </c>
      <c r="F161" t="s">
        <v>21</v>
      </c>
    </row>
    <row r="162" spans="1:6" x14ac:dyDescent="0.25">
      <c r="A162" t="s">
        <v>1</v>
      </c>
      <c r="B162">
        <v>8359</v>
      </c>
      <c r="C162">
        <v>9</v>
      </c>
      <c r="D162">
        <v>26</v>
      </c>
      <c r="E162">
        <v>10</v>
      </c>
      <c r="F162" t="s">
        <v>21</v>
      </c>
    </row>
    <row r="163" spans="1:6" x14ac:dyDescent="0.25">
      <c r="A163" t="s">
        <v>2</v>
      </c>
      <c r="B163">
        <v>5890</v>
      </c>
      <c r="C163">
        <v>9</v>
      </c>
      <c r="D163">
        <v>26</v>
      </c>
      <c r="E163">
        <v>10</v>
      </c>
      <c r="F163" t="s">
        <v>21</v>
      </c>
    </row>
    <row r="164" spans="1:6" x14ac:dyDescent="0.25">
      <c r="A164" t="s">
        <v>2</v>
      </c>
      <c r="B164">
        <v>15768</v>
      </c>
      <c r="C164">
        <v>10</v>
      </c>
      <c r="D164">
        <v>26</v>
      </c>
      <c r="E164">
        <v>10</v>
      </c>
      <c r="F164" t="s">
        <v>21</v>
      </c>
    </row>
    <row r="165" spans="1:6" x14ac:dyDescent="0.25">
      <c r="A165" t="s">
        <v>2</v>
      </c>
      <c r="B165">
        <v>15768</v>
      </c>
      <c r="C165">
        <v>10</v>
      </c>
      <c r="D165">
        <v>26</v>
      </c>
      <c r="E165">
        <v>10</v>
      </c>
      <c r="F165" t="s">
        <v>21</v>
      </c>
    </row>
    <row r="166" spans="1:6" x14ac:dyDescent="0.25">
      <c r="A166" t="s">
        <v>2</v>
      </c>
      <c r="B166">
        <v>1844</v>
      </c>
      <c r="C166">
        <v>10</v>
      </c>
      <c r="D166">
        <v>26</v>
      </c>
      <c r="E166">
        <v>10</v>
      </c>
      <c r="F166" t="s">
        <v>4</v>
      </c>
    </row>
    <row r="167" spans="1:6" x14ac:dyDescent="0.25">
      <c r="A167" t="s">
        <v>2</v>
      </c>
      <c r="B167">
        <v>1321</v>
      </c>
      <c r="C167">
        <v>10</v>
      </c>
      <c r="D167">
        <v>26</v>
      </c>
      <c r="E167">
        <v>10</v>
      </c>
      <c r="F167" t="s">
        <v>4</v>
      </c>
    </row>
    <row r="168" spans="1:6" x14ac:dyDescent="0.25">
      <c r="A168" t="s">
        <v>2</v>
      </c>
      <c r="B168">
        <v>1606</v>
      </c>
      <c r="C168">
        <v>10</v>
      </c>
      <c r="D168">
        <v>26</v>
      </c>
      <c r="E168">
        <v>10</v>
      </c>
      <c r="F168" t="s">
        <v>4</v>
      </c>
    </row>
    <row r="169" spans="1:6" x14ac:dyDescent="0.25">
      <c r="A169" t="s">
        <v>9</v>
      </c>
      <c r="B169">
        <v>6517</v>
      </c>
      <c r="C169">
        <v>12</v>
      </c>
      <c r="D169">
        <v>26</v>
      </c>
      <c r="E169">
        <v>10</v>
      </c>
      <c r="F169" t="s">
        <v>21</v>
      </c>
    </row>
    <row r="170" spans="1:6" x14ac:dyDescent="0.25">
      <c r="A170" t="s">
        <v>9</v>
      </c>
      <c r="B170">
        <v>902</v>
      </c>
      <c r="C170">
        <v>12</v>
      </c>
      <c r="D170">
        <v>26</v>
      </c>
      <c r="E170">
        <v>10</v>
      </c>
      <c r="F170" t="s">
        <v>4</v>
      </c>
    </row>
    <row r="171" spans="1:6" x14ac:dyDescent="0.25">
      <c r="A171" t="s">
        <v>1</v>
      </c>
      <c r="B171">
        <v>7791</v>
      </c>
      <c r="C171">
        <v>13</v>
      </c>
      <c r="D171">
        <v>26</v>
      </c>
      <c r="E171">
        <v>10</v>
      </c>
      <c r="F171" t="s">
        <v>21</v>
      </c>
    </row>
    <row r="172" spans="1:6" x14ac:dyDescent="0.25">
      <c r="A172" t="s">
        <v>1</v>
      </c>
      <c r="B172">
        <v>1304</v>
      </c>
      <c r="C172">
        <v>13</v>
      </c>
      <c r="D172">
        <v>26</v>
      </c>
      <c r="E172">
        <v>10</v>
      </c>
      <c r="F172" t="s">
        <v>21</v>
      </c>
    </row>
    <row r="173" spans="1:6" x14ac:dyDescent="0.25">
      <c r="A173" t="s">
        <v>2</v>
      </c>
      <c r="B173">
        <v>8411</v>
      </c>
      <c r="C173">
        <v>14</v>
      </c>
      <c r="D173">
        <v>26</v>
      </c>
      <c r="E173">
        <v>10</v>
      </c>
      <c r="F173" t="s">
        <v>21</v>
      </c>
    </row>
    <row r="174" spans="1:6" x14ac:dyDescent="0.25">
      <c r="A174" t="s">
        <v>2</v>
      </c>
      <c r="B174">
        <v>8411</v>
      </c>
      <c r="C174">
        <v>14</v>
      </c>
      <c r="D174">
        <v>26</v>
      </c>
      <c r="E174">
        <v>10</v>
      </c>
      <c r="F174" t="s">
        <v>21</v>
      </c>
    </row>
    <row r="175" spans="1:6" x14ac:dyDescent="0.25">
      <c r="A175" t="s">
        <v>1</v>
      </c>
      <c r="B175">
        <v>8311</v>
      </c>
      <c r="C175">
        <v>14</v>
      </c>
      <c r="D175">
        <v>26</v>
      </c>
      <c r="E175">
        <v>10</v>
      </c>
      <c r="F175" t="s">
        <v>21</v>
      </c>
    </row>
    <row r="176" spans="1:6" x14ac:dyDescent="0.25">
      <c r="A176" t="s">
        <v>1</v>
      </c>
      <c r="B176">
        <v>9327</v>
      </c>
      <c r="C176">
        <v>14</v>
      </c>
      <c r="D176">
        <v>26</v>
      </c>
      <c r="E176">
        <v>10</v>
      </c>
      <c r="F176" t="s">
        <v>21</v>
      </c>
    </row>
    <row r="177" spans="1:6" x14ac:dyDescent="0.25">
      <c r="A177" t="s">
        <v>1</v>
      </c>
      <c r="B177">
        <v>8246</v>
      </c>
      <c r="C177">
        <v>14</v>
      </c>
      <c r="D177">
        <v>26</v>
      </c>
      <c r="E177">
        <v>10</v>
      </c>
      <c r="F177" t="s">
        <v>21</v>
      </c>
    </row>
    <row r="178" spans="1:6" x14ac:dyDescent="0.25">
      <c r="A178" t="s">
        <v>2</v>
      </c>
      <c r="B178">
        <v>5743</v>
      </c>
      <c r="C178">
        <v>8</v>
      </c>
      <c r="D178">
        <v>28</v>
      </c>
      <c r="E178">
        <v>10</v>
      </c>
      <c r="F178" t="s">
        <v>21</v>
      </c>
    </row>
    <row r="179" spans="1:6" x14ac:dyDescent="0.25">
      <c r="A179" t="s">
        <v>1</v>
      </c>
      <c r="B179">
        <v>6002</v>
      </c>
      <c r="C179">
        <v>9</v>
      </c>
      <c r="D179">
        <v>28</v>
      </c>
      <c r="E179">
        <v>10</v>
      </c>
      <c r="F179" t="s">
        <v>21</v>
      </c>
    </row>
    <row r="180" spans="1:6" x14ac:dyDescent="0.25">
      <c r="A180" t="s">
        <v>1</v>
      </c>
      <c r="B180">
        <v>9328</v>
      </c>
      <c r="C180">
        <v>9</v>
      </c>
      <c r="D180">
        <v>28</v>
      </c>
      <c r="E180">
        <v>10</v>
      </c>
      <c r="F180" t="s">
        <v>21</v>
      </c>
    </row>
    <row r="181" spans="1:6" x14ac:dyDescent="0.25">
      <c r="A181" t="s">
        <v>1</v>
      </c>
      <c r="B181">
        <v>10366</v>
      </c>
      <c r="C181">
        <v>10</v>
      </c>
      <c r="D181">
        <v>28</v>
      </c>
      <c r="E181">
        <v>10</v>
      </c>
      <c r="F181" t="s">
        <v>21</v>
      </c>
    </row>
    <row r="182" spans="1:6" x14ac:dyDescent="0.25">
      <c r="A182" t="s">
        <v>1</v>
      </c>
      <c r="B182">
        <v>5809</v>
      </c>
      <c r="C182">
        <v>11</v>
      </c>
      <c r="D182">
        <v>28</v>
      </c>
      <c r="E182">
        <v>10</v>
      </c>
      <c r="F182" t="s">
        <v>21</v>
      </c>
    </row>
    <row r="183" spans="1:6" x14ac:dyDescent="0.25">
      <c r="A183" t="s">
        <v>7</v>
      </c>
      <c r="B183">
        <v>3000</v>
      </c>
      <c r="C183">
        <v>11</v>
      </c>
      <c r="D183">
        <v>28</v>
      </c>
      <c r="E183">
        <v>10</v>
      </c>
      <c r="F183" t="s">
        <v>4</v>
      </c>
    </row>
    <row r="184" spans="1:6" x14ac:dyDescent="0.25">
      <c r="A184" t="s">
        <v>7</v>
      </c>
      <c r="B184">
        <v>3000</v>
      </c>
      <c r="C184">
        <v>11</v>
      </c>
      <c r="D184">
        <v>28</v>
      </c>
      <c r="E184">
        <v>10</v>
      </c>
      <c r="F184" t="s">
        <v>4</v>
      </c>
    </row>
    <row r="185" spans="1:6" x14ac:dyDescent="0.25">
      <c r="A185" t="s">
        <v>7</v>
      </c>
      <c r="B185">
        <v>3000</v>
      </c>
      <c r="C185">
        <v>11</v>
      </c>
      <c r="D185">
        <v>28</v>
      </c>
      <c r="E185">
        <v>10</v>
      </c>
      <c r="F185" t="s">
        <v>4</v>
      </c>
    </row>
    <row r="186" spans="1:6" x14ac:dyDescent="0.25">
      <c r="A186" t="s">
        <v>7</v>
      </c>
      <c r="B186">
        <v>3340</v>
      </c>
      <c r="C186">
        <v>11</v>
      </c>
      <c r="D186">
        <v>28</v>
      </c>
      <c r="E186">
        <v>10</v>
      </c>
      <c r="F186" t="s">
        <v>4</v>
      </c>
    </row>
    <row r="187" spans="1:6" x14ac:dyDescent="0.25">
      <c r="A187" t="s">
        <v>0</v>
      </c>
      <c r="B187">
        <v>25866</v>
      </c>
      <c r="C187">
        <v>11</v>
      </c>
      <c r="D187">
        <v>28</v>
      </c>
      <c r="E187">
        <v>10</v>
      </c>
      <c r="F187" t="s">
        <v>5</v>
      </c>
    </row>
    <row r="188" spans="1:6" x14ac:dyDescent="0.25">
      <c r="A188" t="s">
        <v>0</v>
      </c>
      <c r="B188">
        <v>22504</v>
      </c>
      <c r="C188">
        <v>12</v>
      </c>
      <c r="D188">
        <v>28</v>
      </c>
      <c r="E188">
        <v>10</v>
      </c>
      <c r="F188" t="s">
        <v>5</v>
      </c>
    </row>
    <row r="189" spans="1:6" x14ac:dyDescent="0.25">
      <c r="A189" t="s">
        <v>1</v>
      </c>
      <c r="B189">
        <v>5361</v>
      </c>
      <c r="C189">
        <v>12</v>
      </c>
      <c r="D189">
        <v>28</v>
      </c>
      <c r="E189">
        <v>10</v>
      </c>
      <c r="F189" t="s">
        <v>21</v>
      </c>
    </row>
    <row r="190" spans="1:6" x14ac:dyDescent="0.25">
      <c r="A190" t="s">
        <v>2</v>
      </c>
      <c r="B190">
        <v>5264</v>
      </c>
      <c r="C190">
        <v>12</v>
      </c>
      <c r="D190">
        <v>28</v>
      </c>
      <c r="E190">
        <v>10</v>
      </c>
      <c r="F190" t="s">
        <v>21</v>
      </c>
    </row>
    <row r="191" spans="1:6" x14ac:dyDescent="0.25">
      <c r="A191" t="s">
        <v>0</v>
      </c>
      <c r="B191">
        <v>18534</v>
      </c>
      <c r="C191">
        <v>13</v>
      </c>
      <c r="D191">
        <v>28</v>
      </c>
      <c r="E191">
        <v>10</v>
      </c>
      <c r="F191" t="s">
        <v>21</v>
      </c>
    </row>
    <row r="192" spans="1:6" x14ac:dyDescent="0.25">
      <c r="A192" t="s">
        <v>0</v>
      </c>
      <c r="B192">
        <v>19316</v>
      </c>
      <c r="C192">
        <v>13</v>
      </c>
      <c r="D192">
        <v>28</v>
      </c>
      <c r="E192">
        <v>10</v>
      </c>
      <c r="F192" t="s">
        <v>21</v>
      </c>
    </row>
    <row r="193" spans="1:6" x14ac:dyDescent="0.25">
      <c r="A193" t="s">
        <v>0</v>
      </c>
      <c r="B193">
        <v>19316</v>
      </c>
      <c r="C193">
        <v>13</v>
      </c>
      <c r="D193">
        <v>28</v>
      </c>
      <c r="E193">
        <v>10</v>
      </c>
      <c r="F193" t="s">
        <v>21</v>
      </c>
    </row>
    <row r="194" spans="1:6" x14ac:dyDescent="0.25">
      <c r="A194" t="s">
        <v>0</v>
      </c>
      <c r="B194">
        <v>18534</v>
      </c>
      <c r="C194">
        <v>13</v>
      </c>
      <c r="D194">
        <v>28</v>
      </c>
      <c r="E194">
        <v>10</v>
      </c>
      <c r="F194" t="s">
        <v>21</v>
      </c>
    </row>
    <row r="195" spans="1:6" x14ac:dyDescent="0.25">
      <c r="A195" t="s">
        <v>1</v>
      </c>
      <c r="B195">
        <v>9516</v>
      </c>
      <c r="C195">
        <v>14</v>
      </c>
      <c r="D195">
        <v>28</v>
      </c>
      <c r="E195">
        <v>10</v>
      </c>
      <c r="F195" t="s">
        <v>21</v>
      </c>
    </row>
    <row r="196" spans="1:6" x14ac:dyDescent="0.25">
      <c r="A196" t="s">
        <v>1</v>
      </c>
      <c r="B196">
        <v>14293</v>
      </c>
      <c r="C196">
        <v>14</v>
      </c>
      <c r="D196">
        <v>28</v>
      </c>
      <c r="E196">
        <v>10</v>
      </c>
      <c r="F196" t="s">
        <v>21</v>
      </c>
    </row>
    <row r="197" spans="1:6" x14ac:dyDescent="0.25">
      <c r="A197" t="s">
        <v>1</v>
      </c>
      <c r="B197">
        <v>9236</v>
      </c>
      <c r="C197">
        <v>14</v>
      </c>
      <c r="D197">
        <v>28</v>
      </c>
      <c r="E197">
        <v>10</v>
      </c>
      <c r="F197" t="s">
        <v>21</v>
      </c>
    </row>
    <row r="198" spans="1:6" x14ac:dyDescent="0.25">
      <c r="A198" t="s">
        <v>1</v>
      </c>
      <c r="B198">
        <v>760</v>
      </c>
      <c r="C198">
        <v>14</v>
      </c>
      <c r="D198">
        <v>28</v>
      </c>
      <c r="E198">
        <v>10</v>
      </c>
      <c r="F198" t="s">
        <v>21</v>
      </c>
    </row>
    <row r="199" spans="1:6" x14ac:dyDescent="0.25">
      <c r="A199" t="s">
        <v>9</v>
      </c>
      <c r="B199">
        <v>1240</v>
      </c>
      <c r="C199">
        <v>14</v>
      </c>
      <c r="D199">
        <v>28</v>
      </c>
      <c r="E199">
        <v>10</v>
      </c>
      <c r="F199" t="s">
        <v>21</v>
      </c>
    </row>
    <row r="200" spans="1:6" x14ac:dyDescent="0.25">
      <c r="A200" t="s">
        <v>9</v>
      </c>
      <c r="B200">
        <v>650</v>
      </c>
      <c r="C200">
        <v>14</v>
      </c>
      <c r="D200">
        <v>28</v>
      </c>
      <c r="E200">
        <v>10</v>
      </c>
      <c r="F200" t="s">
        <v>21</v>
      </c>
    </row>
    <row r="201" spans="1:6" x14ac:dyDescent="0.25">
      <c r="A201" t="s">
        <v>9</v>
      </c>
      <c r="B201">
        <v>381</v>
      </c>
      <c r="C201">
        <v>14</v>
      </c>
      <c r="D201">
        <v>28</v>
      </c>
      <c r="E201">
        <v>10</v>
      </c>
      <c r="F201" t="s">
        <v>4</v>
      </c>
    </row>
    <row r="202" spans="1:6" x14ac:dyDescent="0.25">
      <c r="A202" t="s">
        <v>9</v>
      </c>
      <c r="B202">
        <v>299</v>
      </c>
      <c r="C202">
        <v>15</v>
      </c>
      <c r="D202">
        <v>28</v>
      </c>
      <c r="E202">
        <v>10</v>
      </c>
      <c r="F202" t="s">
        <v>4</v>
      </c>
    </row>
    <row r="203" spans="1:6" x14ac:dyDescent="0.25">
      <c r="A203" t="s">
        <v>0</v>
      </c>
      <c r="B203">
        <v>9915</v>
      </c>
      <c r="C203">
        <v>15</v>
      </c>
      <c r="D203">
        <v>28</v>
      </c>
      <c r="E203">
        <v>10</v>
      </c>
      <c r="F203" t="s">
        <v>21</v>
      </c>
    </row>
    <row r="204" spans="1:6" x14ac:dyDescent="0.25">
      <c r="A204" t="s">
        <v>2</v>
      </c>
      <c r="B204">
        <v>8214</v>
      </c>
      <c r="C204">
        <v>15</v>
      </c>
      <c r="D204">
        <v>28</v>
      </c>
      <c r="E204">
        <v>10</v>
      </c>
      <c r="F204" t="s">
        <v>21</v>
      </c>
    </row>
    <row r="205" spans="1:6" x14ac:dyDescent="0.25">
      <c r="A205" t="s">
        <v>0</v>
      </c>
      <c r="B205">
        <v>9913</v>
      </c>
      <c r="C205">
        <v>15</v>
      </c>
      <c r="D205">
        <v>28</v>
      </c>
      <c r="E205">
        <v>10</v>
      </c>
      <c r="F205" t="s">
        <v>21</v>
      </c>
    </row>
    <row r="206" spans="1:6" x14ac:dyDescent="0.25">
      <c r="A206" t="s">
        <v>1</v>
      </c>
      <c r="B206">
        <v>4402</v>
      </c>
      <c r="C206">
        <v>16</v>
      </c>
      <c r="D206">
        <v>28</v>
      </c>
      <c r="E206">
        <v>10</v>
      </c>
      <c r="F206" t="s">
        <v>21</v>
      </c>
    </row>
    <row r="207" spans="1:6" x14ac:dyDescent="0.25">
      <c r="A207" t="s">
        <v>1</v>
      </c>
      <c r="B207">
        <v>5361</v>
      </c>
      <c r="C207">
        <v>16</v>
      </c>
      <c r="D207">
        <v>28</v>
      </c>
      <c r="E207">
        <v>10</v>
      </c>
      <c r="F207" t="s">
        <v>21</v>
      </c>
    </row>
    <row r="208" spans="1:6" x14ac:dyDescent="0.25">
      <c r="A208" t="s">
        <v>9</v>
      </c>
      <c r="B208">
        <v>421</v>
      </c>
      <c r="C208">
        <v>16</v>
      </c>
      <c r="D208">
        <v>28</v>
      </c>
      <c r="E208">
        <v>10</v>
      </c>
      <c r="F208" t="s">
        <v>4</v>
      </c>
    </row>
    <row r="209" spans="1:6" x14ac:dyDescent="0.25">
      <c r="A209" t="s">
        <v>0</v>
      </c>
      <c r="B209">
        <v>16557</v>
      </c>
      <c r="C209">
        <v>17</v>
      </c>
      <c r="D209">
        <v>28</v>
      </c>
      <c r="E209">
        <v>10</v>
      </c>
      <c r="F209" t="s">
        <v>21</v>
      </c>
    </row>
    <row r="210" spans="1:6" x14ac:dyDescent="0.25">
      <c r="A210" t="s">
        <v>0</v>
      </c>
      <c r="B210">
        <v>16558</v>
      </c>
      <c r="C210">
        <v>17</v>
      </c>
      <c r="D210">
        <v>28</v>
      </c>
      <c r="E210">
        <v>10</v>
      </c>
      <c r="F210" t="s">
        <v>21</v>
      </c>
    </row>
    <row r="211" spans="1:6" x14ac:dyDescent="0.25">
      <c r="A211" t="s">
        <v>0</v>
      </c>
      <c r="B211">
        <v>16557</v>
      </c>
      <c r="C211">
        <v>17</v>
      </c>
      <c r="D211">
        <v>28</v>
      </c>
      <c r="E211">
        <v>10</v>
      </c>
      <c r="F211" t="s">
        <v>21</v>
      </c>
    </row>
    <row r="212" spans="1:6" x14ac:dyDescent="0.25">
      <c r="A212" t="s">
        <v>0</v>
      </c>
      <c r="B212">
        <v>16557</v>
      </c>
      <c r="C212">
        <v>17</v>
      </c>
      <c r="D212">
        <v>28</v>
      </c>
      <c r="E212">
        <v>10</v>
      </c>
      <c r="F212" t="s">
        <v>21</v>
      </c>
    </row>
    <row r="213" spans="1:6" x14ac:dyDescent="0.25">
      <c r="A213" t="s">
        <v>0</v>
      </c>
      <c r="B213">
        <v>22570</v>
      </c>
      <c r="C213">
        <v>17</v>
      </c>
      <c r="D213">
        <v>28</v>
      </c>
      <c r="E213">
        <v>10</v>
      </c>
      <c r="F213" t="s">
        <v>21</v>
      </c>
    </row>
    <row r="214" spans="1:6" x14ac:dyDescent="0.25">
      <c r="A214" t="s">
        <v>0</v>
      </c>
      <c r="B214">
        <v>16525</v>
      </c>
      <c r="C214">
        <v>17</v>
      </c>
      <c r="D214">
        <v>28</v>
      </c>
      <c r="E214">
        <v>10</v>
      </c>
      <c r="F214" t="s">
        <v>21</v>
      </c>
    </row>
    <row r="215" spans="1:6" x14ac:dyDescent="0.25">
      <c r="A215" t="s">
        <v>0</v>
      </c>
      <c r="B215">
        <v>22570</v>
      </c>
      <c r="C215">
        <v>17</v>
      </c>
      <c r="D215">
        <v>28</v>
      </c>
      <c r="E215">
        <v>10</v>
      </c>
      <c r="F215" t="s">
        <v>21</v>
      </c>
    </row>
    <row r="216" spans="1:6" x14ac:dyDescent="0.25">
      <c r="A216" t="s">
        <v>0</v>
      </c>
      <c r="B216">
        <v>16525</v>
      </c>
      <c r="C216">
        <v>17</v>
      </c>
      <c r="D216">
        <v>28</v>
      </c>
      <c r="E216">
        <v>10</v>
      </c>
      <c r="F216" t="s">
        <v>21</v>
      </c>
    </row>
    <row r="217" spans="1:6" x14ac:dyDescent="0.25">
      <c r="A217" t="s">
        <v>1</v>
      </c>
      <c r="B217">
        <v>1319</v>
      </c>
      <c r="C217">
        <v>18</v>
      </c>
      <c r="D217">
        <v>28</v>
      </c>
      <c r="E217">
        <v>10</v>
      </c>
      <c r="F217" t="s">
        <v>21</v>
      </c>
    </row>
    <row r="218" spans="1:6" x14ac:dyDescent="0.25">
      <c r="A218" t="s">
        <v>1</v>
      </c>
      <c r="B218">
        <v>1318</v>
      </c>
      <c r="C218">
        <v>18</v>
      </c>
      <c r="D218">
        <v>28</v>
      </c>
      <c r="E218">
        <v>10</v>
      </c>
      <c r="F218" t="s">
        <v>21</v>
      </c>
    </row>
    <row r="219" spans="1:6" x14ac:dyDescent="0.25">
      <c r="A219" t="s">
        <v>1</v>
      </c>
      <c r="B219">
        <v>738</v>
      </c>
      <c r="C219">
        <v>18</v>
      </c>
      <c r="D219">
        <v>28</v>
      </c>
      <c r="E219">
        <v>10</v>
      </c>
      <c r="F219" t="s">
        <v>21</v>
      </c>
    </row>
    <row r="220" spans="1:6" x14ac:dyDescent="0.25">
      <c r="A220" t="s">
        <v>1</v>
      </c>
      <c r="B220">
        <v>738</v>
      </c>
      <c r="C220">
        <v>18</v>
      </c>
      <c r="D220">
        <v>28</v>
      </c>
      <c r="E220">
        <v>10</v>
      </c>
      <c r="F220" t="s">
        <v>21</v>
      </c>
    </row>
    <row r="221" spans="1:6" x14ac:dyDescent="0.25">
      <c r="A221" t="s">
        <v>0</v>
      </c>
      <c r="B221">
        <v>16610</v>
      </c>
      <c r="C221">
        <v>8</v>
      </c>
      <c r="D221">
        <v>29</v>
      </c>
      <c r="E221">
        <v>10</v>
      </c>
      <c r="F221" t="s">
        <v>21</v>
      </c>
    </row>
    <row r="222" spans="1:6" x14ac:dyDescent="0.25">
      <c r="A222" t="s">
        <v>0</v>
      </c>
      <c r="B222">
        <v>16853</v>
      </c>
      <c r="C222">
        <v>8</v>
      </c>
      <c r="D222">
        <v>29</v>
      </c>
      <c r="E222">
        <v>10</v>
      </c>
      <c r="F222" t="s">
        <v>21</v>
      </c>
    </row>
    <row r="223" spans="1:6" x14ac:dyDescent="0.25">
      <c r="A223" t="s">
        <v>0</v>
      </c>
      <c r="B223">
        <v>19839</v>
      </c>
      <c r="C223">
        <v>8</v>
      </c>
      <c r="D223">
        <v>29</v>
      </c>
      <c r="E223">
        <v>10</v>
      </c>
      <c r="F223" t="s">
        <v>21</v>
      </c>
    </row>
    <row r="224" spans="1:6" x14ac:dyDescent="0.25">
      <c r="A224" t="s">
        <v>0</v>
      </c>
      <c r="B224">
        <v>17131</v>
      </c>
      <c r="C224">
        <v>8</v>
      </c>
      <c r="D224">
        <v>29</v>
      </c>
      <c r="E224">
        <v>10</v>
      </c>
      <c r="F224" t="s">
        <v>21</v>
      </c>
    </row>
    <row r="225" spans="1:6" x14ac:dyDescent="0.25">
      <c r="A225" t="s">
        <v>1</v>
      </c>
      <c r="B225">
        <v>34</v>
      </c>
      <c r="C225">
        <v>8</v>
      </c>
      <c r="D225">
        <v>29</v>
      </c>
      <c r="E225">
        <v>10</v>
      </c>
      <c r="F225" t="s">
        <v>4</v>
      </c>
    </row>
    <row r="226" spans="1:6" x14ac:dyDescent="0.25">
      <c r="A226" t="s">
        <v>1</v>
      </c>
      <c r="B226">
        <v>34</v>
      </c>
      <c r="C226">
        <v>8</v>
      </c>
      <c r="D226">
        <v>29</v>
      </c>
      <c r="E226">
        <v>10</v>
      </c>
      <c r="F226" t="s">
        <v>4</v>
      </c>
    </row>
    <row r="227" spans="1:6" x14ac:dyDescent="0.25">
      <c r="A227" t="s">
        <v>2</v>
      </c>
      <c r="B227">
        <v>2975</v>
      </c>
      <c r="C227">
        <v>8</v>
      </c>
      <c r="D227">
        <v>29</v>
      </c>
      <c r="E227">
        <v>10</v>
      </c>
      <c r="F227" t="s">
        <v>4</v>
      </c>
    </row>
    <row r="228" spans="1:6" x14ac:dyDescent="0.25">
      <c r="A228" t="s">
        <v>2</v>
      </c>
      <c r="B228">
        <v>3137</v>
      </c>
      <c r="C228">
        <v>8</v>
      </c>
      <c r="D228">
        <v>29</v>
      </c>
      <c r="E228">
        <v>10</v>
      </c>
      <c r="F228" t="s">
        <v>4</v>
      </c>
    </row>
    <row r="229" spans="1:6" x14ac:dyDescent="0.25">
      <c r="A229" t="s">
        <v>2</v>
      </c>
      <c r="B229">
        <v>4367</v>
      </c>
      <c r="C229">
        <v>8</v>
      </c>
      <c r="D229">
        <v>29</v>
      </c>
      <c r="E229">
        <v>10</v>
      </c>
      <c r="F229" t="s">
        <v>4</v>
      </c>
    </row>
    <row r="230" spans="1:6" x14ac:dyDescent="0.25">
      <c r="A230" t="s">
        <v>9</v>
      </c>
      <c r="B230">
        <v>1217</v>
      </c>
      <c r="C230">
        <v>9</v>
      </c>
      <c r="D230">
        <v>29</v>
      </c>
      <c r="E230">
        <v>10</v>
      </c>
      <c r="F230" t="s">
        <v>21</v>
      </c>
    </row>
    <row r="231" spans="1:6" x14ac:dyDescent="0.25">
      <c r="A231" t="s">
        <v>9</v>
      </c>
      <c r="B231">
        <v>214</v>
      </c>
      <c r="C231">
        <v>9</v>
      </c>
      <c r="D231">
        <v>29</v>
      </c>
      <c r="E231">
        <v>10</v>
      </c>
      <c r="F231" t="s">
        <v>4</v>
      </c>
    </row>
    <row r="232" spans="1:6" x14ac:dyDescent="0.25">
      <c r="A232" t="s">
        <v>1</v>
      </c>
      <c r="B232">
        <v>95</v>
      </c>
      <c r="C232">
        <v>10</v>
      </c>
      <c r="D232">
        <v>29</v>
      </c>
      <c r="E232">
        <v>10</v>
      </c>
      <c r="F232" t="s">
        <v>21</v>
      </c>
    </row>
    <row r="233" spans="1:6" x14ac:dyDescent="0.25">
      <c r="A233" t="s">
        <v>1</v>
      </c>
      <c r="B233">
        <v>86</v>
      </c>
      <c r="C233">
        <v>11</v>
      </c>
      <c r="D233">
        <v>29</v>
      </c>
      <c r="E233">
        <v>10</v>
      </c>
      <c r="F233" t="s">
        <v>21</v>
      </c>
    </row>
    <row r="234" spans="1:6" x14ac:dyDescent="0.25">
      <c r="A234" t="s">
        <v>7</v>
      </c>
      <c r="B234">
        <v>8000</v>
      </c>
      <c r="C234">
        <v>11</v>
      </c>
      <c r="D234">
        <v>29</v>
      </c>
      <c r="E234">
        <v>10</v>
      </c>
      <c r="F234" t="s">
        <v>21</v>
      </c>
    </row>
    <row r="235" spans="1:6" x14ac:dyDescent="0.25">
      <c r="A235" t="s">
        <v>7</v>
      </c>
      <c r="B235">
        <v>9756</v>
      </c>
      <c r="C235">
        <v>11</v>
      </c>
      <c r="D235">
        <v>29</v>
      </c>
      <c r="E235">
        <v>10</v>
      </c>
      <c r="F235" t="s">
        <v>21</v>
      </c>
    </row>
    <row r="236" spans="1:6" x14ac:dyDescent="0.25">
      <c r="A236" t="s">
        <v>7</v>
      </c>
      <c r="B236">
        <v>8000</v>
      </c>
      <c r="C236">
        <v>11</v>
      </c>
      <c r="D236">
        <v>29</v>
      </c>
      <c r="E236">
        <v>10</v>
      </c>
      <c r="F236" t="s">
        <v>21</v>
      </c>
    </row>
    <row r="237" spans="1:6" x14ac:dyDescent="0.25">
      <c r="A237" t="s">
        <v>7</v>
      </c>
      <c r="B237">
        <v>9576</v>
      </c>
      <c r="C237">
        <v>11</v>
      </c>
      <c r="D237">
        <v>29</v>
      </c>
      <c r="E237">
        <v>10</v>
      </c>
      <c r="F237" t="s">
        <v>21</v>
      </c>
    </row>
    <row r="238" spans="1:6" x14ac:dyDescent="0.25">
      <c r="A238" t="s">
        <v>1</v>
      </c>
      <c r="B238">
        <v>5076</v>
      </c>
      <c r="C238">
        <v>12</v>
      </c>
      <c r="D238">
        <v>29</v>
      </c>
      <c r="E238">
        <v>10</v>
      </c>
      <c r="F238" t="s">
        <v>21</v>
      </c>
    </row>
    <row r="239" spans="1:6" x14ac:dyDescent="0.25">
      <c r="A239" t="s">
        <v>2</v>
      </c>
      <c r="B239">
        <v>7925</v>
      </c>
      <c r="C239">
        <v>13</v>
      </c>
      <c r="D239">
        <v>29</v>
      </c>
      <c r="E239">
        <v>10</v>
      </c>
      <c r="F239" t="s">
        <v>21</v>
      </c>
    </row>
    <row r="240" spans="1:6" x14ac:dyDescent="0.25">
      <c r="A240" t="s">
        <v>2</v>
      </c>
      <c r="B240">
        <v>7925</v>
      </c>
      <c r="C240">
        <v>13</v>
      </c>
      <c r="D240">
        <v>29</v>
      </c>
      <c r="E240">
        <v>10</v>
      </c>
      <c r="F240" t="s">
        <v>21</v>
      </c>
    </row>
    <row r="241" spans="1:6" x14ac:dyDescent="0.25">
      <c r="A241" t="s">
        <v>8</v>
      </c>
      <c r="B241">
        <v>15000</v>
      </c>
      <c r="C241">
        <v>14</v>
      </c>
      <c r="D241">
        <v>29</v>
      </c>
      <c r="E241">
        <v>10</v>
      </c>
      <c r="F241" t="s">
        <v>21</v>
      </c>
    </row>
    <row r="242" spans="1:6" x14ac:dyDescent="0.25">
      <c r="A242" t="s">
        <v>8</v>
      </c>
      <c r="B242">
        <v>15000</v>
      </c>
      <c r="C242">
        <v>14</v>
      </c>
      <c r="D242">
        <v>29</v>
      </c>
      <c r="E242">
        <v>10</v>
      </c>
      <c r="F242" t="s">
        <v>21</v>
      </c>
    </row>
    <row r="243" spans="1:6" x14ac:dyDescent="0.25">
      <c r="A243" t="s">
        <v>8</v>
      </c>
      <c r="B243">
        <v>15000</v>
      </c>
      <c r="C243">
        <v>14</v>
      </c>
      <c r="D243">
        <v>29</v>
      </c>
      <c r="E243">
        <v>10</v>
      </c>
      <c r="F243" t="s">
        <v>21</v>
      </c>
    </row>
    <row r="244" spans="1:6" x14ac:dyDescent="0.25">
      <c r="A244" t="s">
        <v>8</v>
      </c>
      <c r="B244">
        <v>15000</v>
      </c>
      <c r="C244">
        <v>14</v>
      </c>
      <c r="D244">
        <v>29</v>
      </c>
      <c r="E244">
        <v>10</v>
      </c>
      <c r="F244" t="s">
        <v>21</v>
      </c>
    </row>
    <row r="245" spans="1:6" x14ac:dyDescent="0.25">
      <c r="A245" t="s">
        <v>8</v>
      </c>
      <c r="B245">
        <v>10064</v>
      </c>
      <c r="C245">
        <v>14</v>
      </c>
      <c r="D245">
        <v>29</v>
      </c>
      <c r="E245">
        <v>10</v>
      </c>
      <c r="F245" t="s">
        <v>21</v>
      </c>
    </row>
    <row r="246" spans="1:6" x14ac:dyDescent="0.25">
      <c r="A246" t="s">
        <v>1</v>
      </c>
      <c r="B246">
        <v>5075</v>
      </c>
      <c r="C246">
        <v>14</v>
      </c>
      <c r="D246">
        <v>29</v>
      </c>
      <c r="E246">
        <v>10</v>
      </c>
      <c r="F246" t="s">
        <v>21</v>
      </c>
    </row>
    <row r="247" spans="1:6" x14ac:dyDescent="0.25">
      <c r="A247" t="s">
        <v>1</v>
      </c>
      <c r="B247">
        <v>728</v>
      </c>
      <c r="C247">
        <v>15</v>
      </c>
      <c r="D247">
        <v>29</v>
      </c>
      <c r="E247">
        <v>10</v>
      </c>
      <c r="F247" t="s">
        <v>21</v>
      </c>
    </row>
    <row r="248" spans="1:6" x14ac:dyDescent="0.25">
      <c r="A248" t="s">
        <v>1</v>
      </c>
      <c r="B248">
        <v>1307</v>
      </c>
      <c r="C248">
        <v>15</v>
      </c>
      <c r="D248">
        <v>29</v>
      </c>
      <c r="E248">
        <v>10</v>
      </c>
      <c r="F248" t="s">
        <v>21</v>
      </c>
    </row>
    <row r="249" spans="1:6" x14ac:dyDescent="0.25">
      <c r="A249" t="s">
        <v>0</v>
      </c>
      <c r="B249">
        <v>16658</v>
      </c>
      <c r="C249">
        <v>15</v>
      </c>
      <c r="D249">
        <v>29</v>
      </c>
      <c r="E249">
        <v>10</v>
      </c>
      <c r="F249" t="s">
        <v>21</v>
      </c>
    </row>
    <row r="250" spans="1:6" x14ac:dyDescent="0.25">
      <c r="A250" t="s">
        <v>1</v>
      </c>
      <c r="B250">
        <v>87</v>
      </c>
      <c r="C250">
        <v>15</v>
      </c>
      <c r="D250">
        <v>29</v>
      </c>
      <c r="E250">
        <v>10</v>
      </c>
      <c r="F250" t="s">
        <v>21</v>
      </c>
    </row>
    <row r="251" spans="1:6" x14ac:dyDescent="0.25">
      <c r="A251" t="s">
        <v>1</v>
      </c>
      <c r="B251">
        <v>86</v>
      </c>
      <c r="C251">
        <v>15</v>
      </c>
      <c r="D251">
        <v>29</v>
      </c>
      <c r="E251">
        <v>10</v>
      </c>
      <c r="F251" t="s">
        <v>21</v>
      </c>
    </row>
    <row r="252" spans="1:6" x14ac:dyDescent="0.25">
      <c r="A252" t="s">
        <v>0</v>
      </c>
      <c r="B252">
        <v>19129</v>
      </c>
      <c r="C252">
        <v>15</v>
      </c>
      <c r="D252">
        <v>29</v>
      </c>
      <c r="E252">
        <v>10</v>
      </c>
      <c r="F252" t="s">
        <v>21</v>
      </c>
    </row>
    <row r="253" spans="1:6" x14ac:dyDescent="0.25">
      <c r="A253" t="s">
        <v>0</v>
      </c>
      <c r="B253">
        <v>8916</v>
      </c>
      <c r="C253">
        <v>15</v>
      </c>
      <c r="D253">
        <v>29</v>
      </c>
      <c r="E253">
        <v>10</v>
      </c>
      <c r="F253" t="s">
        <v>21</v>
      </c>
    </row>
    <row r="254" spans="1:6" x14ac:dyDescent="0.25">
      <c r="A254" t="s">
        <v>0</v>
      </c>
      <c r="B254">
        <v>16328</v>
      </c>
      <c r="C254">
        <v>15</v>
      </c>
      <c r="D254">
        <v>29</v>
      </c>
      <c r="E254">
        <v>10</v>
      </c>
      <c r="F254" t="s">
        <v>21</v>
      </c>
    </row>
    <row r="255" spans="1:6" x14ac:dyDescent="0.25">
      <c r="A255" t="s">
        <v>0</v>
      </c>
      <c r="B255">
        <v>19130</v>
      </c>
      <c r="C255">
        <v>17</v>
      </c>
      <c r="D255">
        <v>29</v>
      </c>
      <c r="E255">
        <v>10</v>
      </c>
      <c r="F255" t="s">
        <v>21</v>
      </c>
    </row>
    <row r="256" spans="1:6" x14ac:dyDescent="0.25">
      <c r="A256" t="s">
        <v>0</v>
      </c>
      <c r="B256">
        <v>16328</v>
      </c>
      <c r="C256">
        <v>17</v>
      </c>
      <c r="D256">
        <v>29</v>
      </c>
      <c r="E256">
        <v>10</v>
      </c>
      <c r="F256" t="s">
        <v>21</v>
      </c>
    </row>
    <row r="257" spans="1:6" x14ac:dyDescent="0.25">
      <c r="A257" t="s">
        <v>0</v>
      </c>
      <c r="B257">
        <v>8916</v>
      </c>
      <c r="C257">
        <v>17</v>
      </c>
      <c r="D257">
        <v>29</v>
      </c>
      <c r="E257">
        <v>10</v>
      </c>
      <c r="F257" t="s">
        <v>21</v>
      </c>
    </row>
    <row r="258" spans="1:6" x14ac:dyDescent="0.25">
      <c r="A258" t="s">
        <v>2</v>
      </c>
      <c r="B258">
        <v>9718</v>
      </c>
      <c r="C258">
        <v>17</v>
      </c>
      <c r="D258">
        <v>29</v>
      </c>
      <c r="E258">
        <v>10</v>
      </c>
      <c r="F258" t="s">
        <v>21</v>
      </c>
    </row>
    <row r="259" spans="1:6" x14ac:dyDescent="0.25">
      <c r="A259" t="s">
        <v>2</v>
      </c>
      <c r="B259">
        <v>9718</v>
      </c>
      <c r="C259">
        <v>17</v>
      </c>
      <c r="D259">
        <v>29</v>
      </c>
      <c r="E259">
        <v>10</v>
      </c>
      <c r="F259" t="s">
        <v>21</v>
      </c>
    </row>
    <row r="260" spans="1:6" x14ac:dyDescent="0.25">
      <c r="A260" t="s">
        <v>2</v>
      </c>
      <c r="B260">
        <v>6108</v>
      </c>
      <c r="C260">
        <v>17</v>
      </c>
      <c r="D260">
        <v>29</v>
      </c>
      <c r="E260">
        <v>10</v>
      </c>
      <c r="F260" t="s">
        <v>5</v>
      </c>
    </row>
    <row r="261" spans="1:6" x14ac:dyDescent="0.25">
      <c r="A261" t="s">
        <v>0</v>
      </c>
      <c r="B261">
        <v>14268</v>
      </c>
      <c r="C261">
        <v>8</v>
      </c>
      <c r="D261">
        <v>30</v>
      </c>
      <c r="E261">
        <v>10</v>
      </c>
      <c r="F261" t="s">
        <v>21</v>
      </c>
    </row>
    <row r="262" spans="1:6" x14ac:dyDescent="0.25">
      <c r="A262" t="s">
        <v>0</v>
      </c>
      <c r="B262">
        <v>18469</v>
      </c>
      <c r="C262">
        <v>8</v>
      </c>
      <c r="D262">
        <v>30</v>
      </c>
      <c r="E262">
        <v>10</v>
      </c>
      <c r="F262" t="s">
        <v>21</v>
      </c>
    </row>
    <row r="263" spans="1:6" x14ac:dyDescent="0.25">
      <c r="A263" t="s">
        <v>0</v>
      </c>
      <c r="B263">
        <v>17641</v>
      </c>
      <c r="C263">
        <v>8</v>
      </c>
      <c r="D263">
        <v>30</v>
      </c>
      <c r="E263">
        <v>10</v>
      </c>
      <c r="F263" t="s">
        <v>21</v>
      </c>
    </row>
    <row r="264" spans="1:6" x14ac:dyDescent="0.25">
      <c r="A264" t="s">
        <v>0</v>
      </c>
      <c r="B264">
        <v>14583</v>
      </c>
      <c r="C264">
        <v>8</v>
      </c>
      <c r="D264">
        <v>30</v>
      </c>
      <c r="E264">
        <v>10</v>
      </c>
      <c r="F264" t="s">
        <v>21</v>
      </c>
    </row>
    <row r="265" spans="1:6" x14ac:dyDescent="0.25">
      <c r="A265" t="s">
        <v>1</v>
      </c>
      <c r="B265">
        <v>87</v>
      </c>
      <c r="C265">
        <v>8</v>
      </c>
      <c r="D265">
        <v>30</v>
      </c>
      <c r="E265">
        <v>10</v>
      </c>
      <c r="F265" t="s">
        <v>21</v>
      </c>
    </row>
    <row r="266" spans="1:6" x14ac:dyDescent="0.25">
      <c r="A266" t="s">
        <v>1</v>
      </c>
      <c r="B266">
        <v>10030</v>
      </c>
      <c r="C266">
        <v>10</v>
      </c>
      <c r="D266">
        <v>30</v>
      </c>
      <c r="E266">
        <v>10</v>
      </c>
      <c r="F266" t="s">
        <v>21</v>
      </c>
    </row>
    <row r="267" spans="1:6" x14ac:dyDescent="0.25">
      <c r="A267" t="s">
        <v>1</v>
      </c>
      <c r="B267">
        <v>8570</v>
      </c>
      <c r="C267">
        <v>10</v>
      </c>
      <c r="D267">
        <v>30</v>
      </c>
      <c r="E267">
        <v>10</v>
      </c>
      <c r="F267" t="s">
        <v>21</v>
      </c>
    </row>
    <row r="268" spans="1:6" x14ac:dyDescent="0.25">
      <c r="A268" t="s">
        <v>1</v>
      </c>
      <c r="B268">
        <v>10318</v>
      </c>
      <c r="C268">
        <v>10</v>
      </c>
      <c r="D268">
        <v>30</v>
      </c>
      <c r="E268">
        <v>10</v>
      </c>
      <c r="F268" t="s">
        <v>21</v>
      </c>
    </row>
    <row r="269" spans="1:6" x14ac:dyDescent="0.25">
      <c r="A269" t="s">
        <v>1</v>
      </c>
      <c r="B269">
        <v>8675</v>
      </c>
      <c r="C269">
        <v>10</v>
      </c>
      <c r="D269">
        <v>30</v>
      </c>
      <c r="E269">
        <v>10</v>
      </c>
      <c r="F269" t="s">
        <v>21</v>
      </c>
    </row>
    <row r="270" spans="1:6" x14ac:dyDescent="0.25">
      <c r="A270" t="s">
        <v>9</v>
      </c>
      <c r="B270">
        <v>1242</v>
      </c>
      <c r="C270">
        <v>10</v>
      </c>
      <c r="D270">
        <v>30</v>
      </c>
      <c r="E270">
        <v>10</v>
      </c>
      <c r="F270" t="s">
        <v>21</v>
      </c>
    </row>
    <row r="271" spans="1:6" x14ac:dyDescent="0.25">
      <c r="A271" t="s">
        <v>2</v>
      </c>
      <c r="B271">
        <v>2850</v>
      </c>
      <c r="C271">
        <v>11</v>
      </c>
      <c r="D271">
        <v>30</v>
      </c>
      <c r="E271">
        <v>10</v>
      </c>
      <c r="F271" t="s">
        <v>4</v>
      </c>
    </row>
    <row r="272" spans="1:6" x14ac:dyDescent="0.25">
      <c r="A272" t="s">
        <v>9</v>
      </c>
      <c r="B272">
        <v>389</v>
      </c>
      <c r="C272">
        <v>11</v>
      </c>
      <c r="D272">
        <v>30</v>
      </c>
      <c r="E272">
        <v>10</v>
      </c>
      <c r="F272" t="s">
        <v>4</v>
      </c>
    </row>
    <row r="273" spans="1:6" x14ac:dyDescent="0.25">
      <c r="A273" t="s">
        <v>7</v>
      </c>
      <c r="B273">
        <v>8500</v>
      </c>
      <c r="C273">
        <v>12</v>
      </c>
      <c r="D273">
        <v>30</v>
      </c>
      <c r="E273">
        <v>10</v>
      </c>
      <c r="F273" t="s">
        <v>21</v>
      </c>
    </row>
    <row r="274" spans="1:6" x14ac:dyDescent="0.25">
      <c r="A274" t="s">
        <v>7</v>
      </c>
      <c r="B274">
        <v>9223</v>
      </c>
      <c r="C274">
        <v>12</v>
      </c>
      <c r="D274">
        <v>30</v>
      </c>
      <c r="E274">
        <v>10</v>
      </c>
      <c r="F274" t="s">
        <v>21</v>
      </c>
    </row>
    <row r="275" spans="1:6" x14ac:dyDescent="0.25">
      <c r="A275" t="s">
        <v>7</v>
      </c>
      <c r="B275">
        <v>8500</v>
      </c>
      <c r="C275">
        <v>12</v>
      </c>
      <c r="D275">
        <v>30</v>
      </c>
      <c r="E275">
        <v>10</v>
      </c>
      <c r="F275" t="s">
        <v>21</v>
      </c>
    </row>
    <row r="276" spans="1:6" x14ac:dyDescent="0.25">
      <c r="A276" t="s">
        <v>7</v>
      </c>
      <c r="B276">
        <v>9223</v>
      </c>
      <c r="C276">
        <v>12</v>
      </c>
      <c r="D276">
        <v>30</v>
      </c>
      <c r="E276">
        <v>10</v>
      </c>
      <c r="F276" t="s">
        <v>21</v>
      </c>
    </row>
    <row r="277" spans="1:6" x14ac:dyDescent="0.25">
      <c r="A277" t="s">
        <v>2</v>
      </c>
      <c r="B277">
        <v>6016</v>
      </c>
      <c r="C277">
        <v>13</v>
      </c>
      <c r="D277">
        <v>30</v>
      </c>
      <c r="E277">
        <v>10</v>
      </c>
      <c r="F277" t="s">
        <v>21</v>
      </c>
    </row>
    <row r="278" spans="1:6" x14ac:dyDescent="0.25">
      <c r="A278" t="s">
        <v>2</v>
      </c>
      <c r="B278">
        <v>6016</v>
      </c>
      <c r="C278">
        <v>13</v>
      </c>
      <c r="D278">
        <v>30</v>
      </c>
      <c r="E278">
        <v>10</v>
      </c>
      <c r="F278" t="s">
        <v>21</v>
      </c>
    </row>
    <row r="279" spans="1:6" x14ac:dyDescent="0.25">
      <c r="A279" t="s">
        <v>1</v>
      </c>
      <c r="B279">
        <v>3640</v>
      </c>
      <c r="C279">
        <v>13</v>
      </c>
      <c r="D279">
        <v>30</v>
      </c>
      <c r="E279">
        <v>10</v>
      </c>
      <c r="F279" t="s">
        <v>4</v>
      </c>
    </row>
    <row r="280" spans="1:6" x14ac:dyDescent="0.25">
      <c r="A280" t="s">
        <v>1</v>
      </c>
      <c r="B280">
        <v>20089</v>
      </c>
      <c r="C280">
        <v>14</v>
      </c>
      <c r="D280">
        <v>30</v>
      </c>
      <c r="E280">
        <v>10</v>
      </c>
      <c r="F280" t="s">
        <v>21</v>
      </c>
    </row>
    <row r="281" spans="1:6" x14ac:dyDescent="0.25">
      <c r="A281" t="s">
        <v>1</v>
      </c>
      <c r="B281">
        <v>5100</v>
      </c>
      <c r="C281">
        <v>15</v>
      </c>
      <c r="D281">
        <v>30</v>
      </c>
      <c r="E281">
        <v>10</v>
      </c>
      <c r="F281" t="s">
        <v>21</v>
      </c>
    </row>
    <row r="282" spans="1:6" x14ac:dyDescent="0.25">
      <c r="A282" t="s">
        <v>0</v>
      </c>
      <c r="B282">
        <v>14780</v>
      </c>
      <c r="C282">
        <v>15</v>
      </c>
      <c r="D282">
        <v>30</v>
      </c>
      <c r="E282">
        <v>10</v>
      </c>
      <c r="F282" t="s">
        <v>21</v>
      </c>
    </row>
    <row r="283" spans="1:6" x14ac:dyDescent="0.25">
      <c r="A283" t="s">
        <v>0</v>
      </c>
      <c r="B283">
        <v>13021</v>
      </c>
      <c r="C283">
        <v>15</v>
      </c>
      <c r="D283">
        <v>30</v>
      </c>
      <c r="E283">
        <v>10</v>
      </c>
      <c r="F283" t="s">
        <v>21</v>
      </c>
    </row>
    <row r="284" spans="1:6" x14ac:dyDescent="0.25">
      <c r="A284" t="s">
        <v>0</v>
      </c>
      <c r="B284">
        <v>13021</v>
      </c>
      <c r="C284">
        <v>15</v>
      </c>
      <c r="D284">
        <v>30</v>
      </c>
      <c r="E284">
        <v>10</v>
      </c>
      <c r="F284" t="s">
        <v>21</v>
      </c>
    </row>
    <row r="285" spans="1:6" x14ac:dyDescent="0.25">
      <c r="A285" t="s">
        <v>0</v>
      </c>
      <c r="B285">
        <v>13021</v>
      </c>
      <c r="C285">
        <v>15</v>
      </c>
      <c r="D285">
        <v>30</v>
      </c>
      <c r="E285">
        <v>10</v>
      </c>
      <c r="F285" t="s">
        <v>21</v>
      </c>
    </row>
    <row r="286" spans="1:6" x14ac:dyDescent="0.25">
      <c r="A286" t="s">
        <v>0</v>
      </c>
      <c r="B286">
        <v>9835</v>
      </c>
      <c r="C286">
        <v>15</v>
      </c>
      <c r="D286">
        <v>30</v>
      </c>
      <c r="E286">
        <v>10</v>
      </c>
      <c r="F286" t="s">
        <v>21</v>
      </c>
    </row>
    <row r="287" spans="1:6" x14ac:dyDescent="0.25">
      <c r="A287" t="s">
        <v>0</v>
      </c>
      <c r="B287">
        <v>16825</v>
      </c>
      <c r="C287">
        <v>15</v>
      </c>
      <c r="D287">
        <v>30</v>
      </c>
      <c r="E287">
        <v>10</v>
      </c>
      <c r="F287" t="s">
        <v>21</v>
      </c>
    </row>
    <row r="288" spans="1:6" x14ac:dyDescent="0.25">
      <c r="A288" t="s">
        <v>0</v>
      </c>
      <c r="B288">
        <v>10740</v>
      </c>
      <c r="C288">
        <v>15</v>
      </c>
      <c r="D288">
        <v>30</v>
      </c>
      <c r="E288">
        <v>10</v>
      </c>
      <c r="F288" t="s">
        <v>21</v>
      </c>
    </row>
    <row r="289" spans="1:6" x14ac:dyDescent="0.25">
      <c r="A289" t="s">
        <v>2</v>
      </c>
      <c r="B289">
        <v>8011</v>
      </c>
      <c r="C289">
        <v>15</v>
      </c>
      <c r="D289">
        <v>30</v>
      </c>
      <c r="E289">
        <v>10</v>
      </c>
      <c r="F289" t="s">
        <v>21</v>
      </c>
    </row>
    <row r="290" spans="1:6" x14ac:dyDescent="0.25">
      <c r="A290" t="s">
        <v>2</v>
      </c>
      <c r="B290">
        <v>8011</v>
      </c>
      <c r="C290">
        <v>15</v>
      </c>
      <c r="D290">
        <v>30</v>
      </c>
      <c r="E290">
        <v>10</v>
      </c>
      <c r="F290" t="s">
        <v>21</v>
      </c>
    </row>
    <row r="291" spans="1:6" x14ac:dyDescent="0.25">
      <c r="A291" t="s">
        <v>1</v>
      </c>
      <c r="B291">
        <v>9938</v>
      </c>
      <c r="C291">
        <v>17</v>
      </c>
      <c r="D291">
        <v>30</v>
      </c>
      <c r="E291">
        <v>10</v>
      </c>
      <c r="F291" t="s">
        <v>21</v>
      </c>
    </row>
    <row r="292" spans="1:6" x14ac:dyDescent="0.25">
      <c r="A292" t="s">
        <v>1</v>
      </c>
      <c r="B292">
        <v>8517</v>
      </c>
      <c r="C292">
        <v>17</v>
      </c>
      <c r="D292">
        <v>30</v>
      </c>
      <c r="E292">
        <v>10</v>
      </c>
      <c r="F292" t="s">
        <v>21</v>
      </c>
    </row>
    <row r="293" spans="1:6" x14ac:dyDescent="0.25">
      <c r="A293" t="s">
        <v>0</v>
      </c>
      <c r="B293">
        <v>22411</v>
      </c>
      <c r="C293">
        <v>18</v>
      </c>
      <c r="D293">
        <v>30</v>
      </c>
      <c r="E293">
        <v>10</v>
      </c>
      <c r="F293" t="s">
        <v>21</v>
      </c>
    </row>
    <row r="294" spans="1:6" x14ac:dyDescent="0.25">
      <c r="A294" t="s">
        <v>0</v>
      </c>
      <c r="B294">
        <v>16580</v>
      </c>
      <c r="C294">
        <v>18</v>
      </c>
      <c r="D294">
        <v>30</v>
      </c>
      <c r="E294">
        <v>10</v>
      </c>
      <c r="F294" t="s">
        <v>21</v>
      </c>
    </row>
    <row r="295" spans="1:6" x14ac:dyDescent="0.25">
      <c r="A295" t="s">
        <v>0</v>
      </c>
      <c r="B295">
        <v>22411</v>
      </c>
      <c r="C295">
        <v>18</v>
      </c>
      <c r="D295">
        <v>30</v>
      </c>
      <c r="E295">
        <v>10</v>
      </c>
      <c r="F295" t="s">
        <v>21</v>
      </c>
    </row>
    <row r="296" spans="1:6" x14ac:dyDescent="0.25">
      <c r="A296" t="s">
        <v>0</v>
      </c>
      <c r="B296">
        <v>16580</v>
      </c>
      <c r="C296">
        <v>18</v>
      </c>
      <c r="D296">
        <v>30</v>
      </c>
      <c r="E296">
        <v>10</v>
      </c>
      <c r="F296" t="s">
        <v>21</v>
      </c>
    </row>
    <row r="297" spans="1:6" x14ac:dyDescent="0.25">
      <c r="A297" t="s">
        <v>0</v>
      </c>
      <c r="B297">
        <v>13457</v>
      </c>
      <c r="C297">
        <v>8</v>
      </c>
      <c r="D297">
        <v>31</v>
      </c>
      <c r="E297">
        <v>10</v>
      </c>
      <c r="F297" t="s">
        <v>21</v>
      </c>
    </row>
    <row r="298" spans="1:6" x14ac:dyDescent="0.25">
      <c r="A298" t="s">
        <v>0</v>
      </c>
      <c r="B298">
        <v>13534</v>
      </c>
      <c r="C298">
        <v>8</v>
      </c>
      <c r="D298">
        <v>31</v>
      </c>
      <c r="E298">
        <v>10</v>
      </c>
      <c r="F298" t="s">
        <v>21</v>
      </c>
    </row>
    <row r="299" spans="1:6" x14ac:dyDescent="0.25">
      <c r="A299" t="s">
        <v>0</v>
      </c>
      <c r="B299">
        <v>13534</v>
      </c>
      <c r="C299">
        <v>8</v>
      </c>
      <c r="D299">
        <v>31</v>
      </c>
      <c r="E299">
        <v>10</v>
      </c>
      <c r="F299" t="s">
        <v>21</v>
      </c>
    </row>
    <row r="300" spans="1:6" x14ac:dyDescent="0.25">
      <c r="A300" t="s">
        <v>0</v>
      </c>
      <c r="B300">
        <v>11978</v>
      </c>
      <c r="C300">
        <v>8</v>
      </c>
      <c r="D300">
        <v>31</v>
      </c>
      <c r="E300">
        <v>10</v>
      </c>
      <c r="F300" t="s">
        <v>21</v>
      </c>
    </row>
    <row r="301" spans="1:6" x14ac:dyDescent="0.25">
      <c r="A301" t="s">
        <v>1</v>
      </c>
      <c r="B301">
        <v>11292</v>
      </c>
      <c r="C301">
        <v>8</v>
      </c>
      <c r="D301">
        <v>31</v>
      </c>
      <c r="E301">
        <v>10</v>
      </c>
      <c r="F301" t="s">
        <v>21</v>
      </c>
    </row>
    <row r="302" spans="1:6" x14ac:dyDescent="0.25">
      <c r="A302" t="s">
        <v>1</v>
      </c>
      <c r="B302">
        <v>40</v>
      </c>
      <c r="C302">
        <v>8</v>
      </c>
      <c r="D302">
        <v>31</v>
      </c>
      <c r="E302">
        <v>10</v>
      </c>
      <c r="F302" t="s">
        <v>21</v>
      </c>
    </row>
    <row r="303" spans="1:6" x14ac:dyDescent="0.25">
      <c r="A303" t="s">
        <v>1</v>
      </c>
      <c r="B303">
        <v>58</v>
      </c>
      <c r="C303">
        <v>8</v>
      </c>
      <c r="D303">
        <v>31</v>
      </c>
      <c r="E303">
        <v>10</v>
      </c>
      <c r="F303" t="s">
        <v>21</v>
      </c>
    </row>
    <row r="304" spans="1:6" x14ac:dyDescent="0.25">
      <c r="A304" t="s">
        <v>1</v>
      </c>
      <c r="B304">
        <v>11292</v>
      </c>
      <c r="C304">
        <v>8</v>
      </c>
      <c r="D304">
        <v>31</v>
      </c>
      <c r="E304">
        <v>10</v>
      </c>
      <c r="F304" t="s">
        <v>21</v>
      </c>
    </row>
    <row r="305" spans="1:6" x14ac:dyDescent="0.25">
      <c r="A305" t="s">
        <v>1</v>
      </c>
      <c r="B305">
        <v>9912</v>
      </c>
      <c r="C305">
        <v>8</v>
      </c>
      <c r="D305">
        <v>31</v>
      </c>
      <c r="E305">
        <v>10</v>
      </c>
      <c r="F305" t="s">
        <v>21</v>
      </c>
    </row>
    <row r="306" spans="1:6" x14ac:dyDescent="0.25">
      <c r="A306" t="s">
        <v>1</v>
      </c>
      <c r="B306">
        <v>11272</v>
      </c>
      <c r="C306">
        <v>8</v>
      </c>
      <c r="D306">
        <v>31</v>
      </c>
      <c r="E306">
        <v>10</v>
      </c>
      <c r="F306" t="s">
        <v>21</v>
      </c>
    </row>
    <row r="307" spans="1:6" x14ac:dyDescent="0.25">
      <c r="A307" t="s">
        <v>1</v>
      </c>
      <c r="B307">
        <v>68</v>
      </c>
      <c r="C307">
        <v>8</v>
      </c>
      <c r="D307">
        <v>31</v>
      </c>
      <c r="E307">
        <v>10</v>
      </c>
      <c r="F307" t="s">
        <v>4</v>
      </c>
    </row>
    <row r="308" spans="1:6" x14ac:dyDescent="0.25">
      <c r="A308" t="s">
        <v>1</v>
      </c>
      <c r="B308">
        <v>68</v>
      </c>
      <c r="C308">
        <v>8</v>
      </c>
      <c r="D308">
        <v>31</v>
      </c>
      <c r="E308">
        <v>10</v>
      </c>
      <c r="F308" t="s">
        <v>4</v>
      </c>
    </row>
    <row r="309" spans="1:6" x14ac:dyDescent="0.25">
      <c r="A309" t="s">
        <v>1</v>
      </c>
      <c r="B309">
        <v>40</v>
      </c>
      <c r="C309">
        <v>8</v>
      </c>
      <c r="D309">
        <v>31</v>
      </c>
      <c r="E309">
        <v>10</v>
      </c>
      <c r="F309" t="s">
        <v>4</v>
      </c>
    </row>
    <row r="310" spans="1:6" x14ac:dyDescent="0.25">
      <c r="A310" t="s">
        <v>1</v>
      </c>
      <c r="B310">
        <v>8491</v>
      </c>
      <c r="C310">
        <v>8</v>
      </c>
      <c r="D310">
        <v>31</v>
      </c>
      <c r="E310">
        <v>10</v>
      </c>
      <c r="F310" t="s">
        <v>4</v>
      </c>
    </row>
    <row r="311" spans="1:6" x14ac:dyDescent="0.25">
      <c r="A311" t="s">
        <v>1</v>
      </c>
      <c r="B311">
        <v>8491</v>
      </c>
      <c r="C311">
        <v>8</v>
      </c>
      <c r="D311">
        <v>31</v>
      </c>
      <c r="E311">
        <v>10</v>
      </c>
      <c r="F311" t="s">
        <v>4</v>
      </c>
    </row>
    <row r="312" spans="1:6" x14ac:dyDescent="0.25">
      <c r="A312" t="s">
        <v>0</v>
      </c>
      <c r="B312">
        <v>5316</v>
      </c>
      <c r="C312">
        <v>10</v>
      </c>
      <c r="D312">
        <v>31</v>
      </c>
      <c r="E312">
        <v>10</v>
      </c>
      <c r="F312" t="s">
        <v>21</v>
      </c>
    </row>
    <row r="313" spans="1:6" x14ac:dyDescent="0.25">
      <c r="A313" t="s">
        <v>0</v>
      </c>
      <c r="B313">
        <v>4999</v>
      </c>
      <c r="C313">
        <v>10</v>
      </c>
      <c r="D313">
        <v>31</v>
      </c>
      <c r="E313">
        <v>10</v>
      </c>
      <c r="F313" t="s">
        <v>21</v>
      </c>
    </row>
    <row r="314" spans="1:6" x14ac:dyDescent="0.25">
      <c r="A314" t="s">
        <v>1</v>
      </c>
      <c r="B314">
        <v>11138</v>
      </c>
      <c r="C314">
        <v>10</v>
      </c>
      <c r="D314">
        <v>31</v>
      </c>
      <c r="E314">
        <v>10</v>
      </c>
      <c r="F314" t="s">
        <v>21</v>
      </c>
    </row>
    <row r="315" spans="1:6" x14ac:dyDescent="0.25">
      <c r="A315" t="s">
        <v>0</v>
      </c>
      <c r="B315">
        <v>6911</v>
      </c>
      <c r="C315">
        <v>10</v>
      </c>
      <c r="D315">
        <v>31</v>
      </c>
      <c r="E315">
        <v>10</v>
      </c>
      <c r="F315" t="s">
        <v>21</v>
      </c>
    </row>
    <row r="316" spans="1:6" x14ac:dyDescent="0.25">
      <c r="A316" t="s">
        <v>0</v>
      </c>
      <c r="B316">
        <v>7981</v>
      </c>
      <c r="C316">
        <v>11</v>
      </c>
      <c r="D316">
        <v>31</v>
      </c>
      <c r="E316">
        <v>10</v>
      </c>
      <c r="F316" t="s">
        <v>21</v>
      </c>
    </row>
    <row r="317" spans="1:6" x14ac:dyDescent="0.25">
      <c r="A317" t="s">
        <v>0</v>
      </c>
      <c r="B317">
        <v>15940</v>
      </c>
      <c r="C317">
        <v>12</v>
      </c>
      <c r="D317">
        <v>31</v>
      </c>
      <c r="E317">
        <v>10</v>
      </c>
      <c r="F317" t="s">
        <v>21</v>
      </c>
    </row>
    <row r="318" spans="1:6" x14ac:dyDescent="0.25">
      <c r="A318" t="s">
        <v>0</v>
      </c>
      <c r="B318">
        <v>23769</v>
      </c>
      <c r="C318">
        <v>12</v>
      </c>
      <c r="D318">
        <v>31</v>
      </c>
      <c r="E318">
        <v>10</v>
      </c>
      <c r="F318" t="s">
        <v>21</v>
      </c>
    </row>
    <row r="319" spans="1:6" x14ac:dyDescent="0.25">
      <c r="A319" t="s">
        <v>0</v>
      </c>
      <c r="B319">
        <v>13237</v>
      </c>
      <c r="C319">
        <v>12</v>
      </c>
      <c r="D319">
        <v>31</v>
      </c>
      <c r="E319">
        <v>10</v>
      </c>
      <c r="F319" t="s">
        <v>21</v>
      </c>
    </row>
    <row r="320" spans="1:6" x14ac:dyDescent="0.25">
      <c r="A320" t="s">
        <v>1</v>
      </c>
      <c r="B320">
        <v>11110</v>
      </c>
      <c r="C320">
        <v>10</v>
      </c>
      <c r="D320">
        <v>31</v>
      </c>
      <c r="E320">
        <v>10</v>
      </c>
      <c r="F320" t="s">
        <v>21</v>
      </c>
    </row>
    <row r="321" spans="1:6" x14ac:dyDescent="0.25">
      <c r="A321" t="s">
        <v>0</v>
      </c>
      <c r="B321">
        <v>14489</v>
      </c>
      <c r="C321">
        <v>8</v>
      </c>
      <c r="D321">
        <v>2</v>
      </c>
      <c r="E321">
        <v>11</v>
      </c>
      <c r="F321" t="s">
        <v>21</v>
      </c>
    </row>
    <row r="322" spans="1:6" x14ac:dyDescent="0.25">
      <c r="A322" t="s">
        <v>0</v>
      </c>
      <c r="B322">
        <v>17344</v>
      </c>
      <c r="C322">
        <v>8</v>
      </c>
      <c r="D322">
        <v>2</v>
      </c>
      <c r="E322">
        <v>11</v>
      </c>
      <c r="F322" t="s">
        <v>21</v>
      </c>
    </row>
    <row r="323" spans="1:6" x14ac:dyDescent="0.25">
      <c r="A323" t="s">
        <v>0</v>
      </c>
      <c r="B323">
        <v>10952</v>
      </c>
      <c r="C323">
        <v>8</v>
      </c>
      <c r="D323">
        <v>2</v>
      </c>
      <c r="E323">
        <v>11</v>
      </c>
      <c r="F323" t="s">
        <v>21</v>
      </c>
    </row>
    <row r="324" spans="1:6" x14ac:dyDescent="0.25">
      <c r="A324" t="s">
        <v>2</v>
      </c>
      <c r="B324">
        <v>8718</v>
      </c>
      <c r="C324">
        <v>8</v>
      </c>
      <c r="D324">
        <v>2</v>
      </c>
      <c r="E324">
        <v>11</v>
      </c>
      <c r="F324" t="s">
        <v>21</v>
      </c>
    </row>
    <row r="325" spans="1:6" x14ac:dyDescent="0.25">
      <c r="A325" t="s">
        <v>9</v>
      </c>
      <c r="B325">
        <v>508</v>
      </c>
      <c r="C325">
        <v>9</v>
      </c>
      <c r="D325">
        <v>2</v>
      </c>
      <c r="E325">
        <v>11</v>
      </c>
      <c r="F325" t="s">
        <v>21</v>
      </c>
    </row>
    <row r="326" spans="1:6" x14ac:dyDescent="0.25">
      <c r="A326" t="s">
        <v>9</v>
      </c>
      <c r="B326">
        <v>3243</v>
      </c>
      <c r="C326">
        <v>9</v>
      </c>
      <c r="D326">
        <v>2</v>
      </c>
      <c r="E326">
        <v>11</v>
      </c>
      <c r="F326" t="s">
        <v>21</v>
      </c>
    </row>
    <row r="327" spans="1:6" x14ac:dyDescent="0.25">
      <c r="A327" t="s">
        <v>2</v>
      </c>
      <c r="B327">
        <v>22572</v>
      </c>
      <c r="C327">
        <v>10</v>
      </c>
      <c r="D327">
        <v>2</v>
      </c>
      <c r="E327">
        <v>11</v>
      </c>
      <c r="F327" t="s">
        <v>21</v>
      </c>
    </row>
    <row r="328" spans="1:6" x14ac:dyDescent="0.25">
      <c r="A328" t="s">
        <v>1</v>
      </c>
      <c r="B328">
        <v>101</v>
      </c>
      <c r="C328">
        <v>10</v>
      </c>
      <c r="D328">
        <v>2</v>
      </c>
      <c r="E328">
        <v>11</v>
      </c>
      <c r="F328" t="s">
        <v>21</v>
      </c>
    </row>
    <row r="329" spans="1:6" x14ac:dyDescent="0.25">
      <c r="A329" t="s">
        <v>1</v>
      </c>
      <c r="B329">
        <v>277</v>
      </c>
      <c r="C329">
        <v>10</v>
      </c>
      <c r="D329">
        <v>2</v>
      </c>
      <c r="E329">
        <v>11</v>
      </c>
      <c r="F329" t="s">
        <v>21</v>
      </c>
    </row>
    <row r="330" spans="1:6" x14ac:dyDescent="0.25">
      <c r="A330" t="s">
        <v>0</v>
      </c>
      <c r="B330">
        <v>16827</v>
      </c>
      <c r="C330">
        <v>10</v>
      </c>
      <c r="D330">
        <v>2</v>
      </c>
      <c r="E330">
        <v>11</v>
      </c>
      <c r="F330" t="s">
        <v>21</v>
      </c>
    </row>
    <row r="331" spans="1:6" x14ac:dyDescent="0.25">
      <c r="A331" t="s">
        <v>0</v>
      </c>
      <c r="B331">
        <v>16827</v>
      </c>
      <c r="C331">
        <v>10</v>
      </c>
      <c r="D331">
        <v>2</v>
      </c>
      <c r="E331">
        <v>11</v>
      </c>
      <c r="F331" t="s">
        <v>21</v>
      </c>
    </row>
    <row r="332" spans="1:6" x14ac:dyDescent="0.25">
      <c r="A332" t="s">
        <v>1</v>
      </c>
      <c r="B332">
        <v>3748</v>
      </c>
      <c r="C332">
        <v>11</v>
      </c>
      <c r="D332">
        <v>2</v>
      </c>
      <c r="E332">
        <v>11</v>
      </c>
      <c r="F332" t="s">
        <v>21</v>
      </c>
    </row>
    <row r="333" spans="1:6" x14ac:dyDescent="0.25">
      <c r="A333" t="s">
        <v>1</v>
      </c>
      <c r="B333">
        <v>925</v>
      </c>
      <c r="C333">
        <v>11</v>
      </c>
      <c r="D333">
        <v>2</v>
      </c>
      <c r="E333">
        <v>11</v>
      </c>
      <c r="F333" t="s">
        <v>21</v>
      </c>
    </row>
    <row r="334" spans="1:6" x14ac:dyDescent="0.25">
      <c r="A334" t="s">
        <v>1</v>
      </c>
      <c r="B334">
        <v>24637</v>
      </c>
      <c r="C334">
        <v>11</v>
      </c>
      <c r="D334">
        <v>2</v>
      </c>
      <c r="E334">
        <v>11</v>
      </c>
      <c r="F334" t="s">
        <v>21</v>
      </c>
    </row>
    <row r="335" spans="1:6" x14ac:dyDescent="0.25">
      <c r="A335" t="s">
        <v>0</v>
      </c>
      <c r="B335">
        <v>9518</v>
      </c>
      <c r="C335">
        <v>13</v>
      </c>
      <c r="D335">
        <v>2</v>
      </c>
      <c r="E335">
        <v>11</v>
      </c>
      <c r="F335" t="s">
        <v>21</v>
      </c>
    </row>
    <row r="336" spans="1:6" x14ac:dyDescent="0.25">
      <c r="A336" t="s">
        <v>0</v>
      </c>
      <c r="B336">
        <v>8705</v>
      </c>
      <c r="C336">
        <v>13</v>
      </c>
      <c r="D336">
        <v>2</v>
      </c>
      <c r="E336">
        <v>11</v>
      </c>
      <c r="F336" t="s">
        <v>21</v>
      </c>
    </row>
    <row r="337" spans="1:6" x14ac:dyDescent="0.25">
      <c r="A337" t="s">
        <v>0</v>
      </c>
      <c r="B337">
        <v>8705</v>
      </c>
      <c r="C337">
        <v>13</v>
      </c>
      <c r="D337">
        <v>2</v>
      </c>
      <c r="E337">
        <v>11</v>
      </c>
      <c r="F337" t="s">
        <v>21</v>
      </c>
    </row>
    <row r="338" spans="1:6" x14ac:dyDescent="0.25">
      <c r="A338" t="s">
        <v>0</v>
      </c>
      <c r="B338">
        <v>9518</v>
      </c>
      <c r="C338">
        <v>13</v>
      </c>
      <c r="D338">
        <v>2</v>
      </c>
      <c r="E338">
        <v>11</v>
      </c>
      <c r="F338" t="s">
        <v>21</v>
      </c>
    </row>
    <row r="339" spans="1:6" x14ac:dyDescent="0.25">
      <c r="A339" t="s">
        <v>2</v>
      </c>
      <c r="B339">
        <v>8572</v>
      </c>
      <c r="C339">
        <v>13</v>
      </c>
      <c r="D339">
        <v>2</v>
      </c>
      <c r="E339">
        <v>11</v>
      </c>
      <c r="F339" t="s">
        <v>21</v>
      </c>
    </row>
    <row r="340" spans="1:6" x14ac:dyDescent="0.25">
      <c r="A340" t="s">
        <v>2</v>
      </c>
      <c r="B340">
        <v>20392</v>
      </c>
      <c r="C340">
        <v>13</v>
      </c>
      <c r="D340">
        <v>2</v>
      </c>
      <c r="E340">
        <v>11</v>
      </c>
      <c r="F340" t="s">
        <v>21</v>
      </c>
    </row>
    <row r="341" spans="1:6" x14ac:dyDescent="0.25">
      <c r="A341" t="s">
        <v>1</v>
      </c>
      <c r="B341">
        <v>11237</v>
      </c>
      <c r="C341">
        <v>13</v>
      </c>
      <c r="D341">
        <v>2</v>
      </c>
      <c r="E341">
        <v>11</v>
      </c>
      <c r="F341" t="s">
        <v>21</v>
      </c>
    </row>
    <row r="342" spans="1:6" x14ac:dyDescent="0.25">
      <c r="A342" t="s">
        <v>0</v>
      </c>
      <c r="B342">
        <v>10883</v>
      </c>
      <c r="C342">
        <v>8</v>
      </c>
      <c r="D342">
        <v>4</v>
      </c>
      <c r="E342">
        <v>11</v>
      </c>
      <c r="F342" t="s">
        <v>21</v>
      </c>
    </row>
    <row r="343" spans="1:6" x14ac:dyDescent="0.25">
      <c r="A343" t="s">
        <v>0</v>
      </c>
      <c r="B343">
        <v>10883</v>
      </c>
      <c r="C343">
        <v>8</v>
      </c>
      <c r="D343">
        <v>4</v>
      </c>
      <c r="E343">
        <v>11</v>
      </c>
      <c r="F343" t="s">
        <v>21</v>
      </c>
    </row>
    <row r="344" spans="1:6" x14ac:dyDescent="0.25">
      <c r="A344" t="s">
        <v>0</v>
      </c>
      <c r="B344">
        <v>10883</v>
      </c>
      <c r="C344">
        <v>8</v>
      </c>
      <c r="D344">
        <v>4</v>
      </c>
      <c r="E344">
        <v>11</v>
      </c>
      <c r="F344" t="s">
        <v>21</v>
      </c>
    </row>
    <row r="345" spans="1:6" x14ac:dyDescent="0.25">
      <c r="A345" t="s">
        <v>0</v>
      </c>
      <c r="B345">
        <v>10883</v>
      </c>
      <c r="C345">
        <v>8</v>
      </c>
      <c r="D345">
        <v>4</v>
      </c>
      <c r="E345">
        <v>11</v>
      </c>
      <c r="F345" t="s">
        <v>21</v>
      </c>
    </row>
    <row r="346" spans="1:6" x14ac:dyDescent="0.25">
      <c r="A346" t="s">
        <v>2</v>
      </c>
      <c r="B346">
        <v>14459</v>
      </c>
      <c r="C346">
        <v>8</v>
      </c>
      <c r="D346">
        <v>4</v>
      </c>
      <c r="E346">
        <v>11</v>
      </c>
      <c r="F346" t="s">
        <v>21</v>
      </c>
    </row>
    <row r="347" spans="1:6" x14ac:dyDescent="0.25">
      <c r="A347" t="s">
        <v>2</v>
      </c>
      <c r="B347">
        <v>14459</v>
      </c>
      <c r="C347">
        <v>8</v>
      </c>
      <c r="D347">
        <v>4</v>
      </c>
      <c r="E347">
        <v>11</v>
      </c>
      <c r="F347" t="s">
        <v>21</v>
      </c>
    </row>
    <row r="348" spans="1:6" x14ac:dyDescent="0.25">
      <c r="A348" t="s">
        <v>1</v>
      </c>
      <c r="B348">
        <v>15432</v>
      </c>
      <c r="C348">
        <v>9</v>
      </c>
      <c r="D348">
        <v>4</v>
      </c>
      <c r="E348">
        <v>11</v>
      </c>
      <c r="F348" t="s">
        <v>21</v>
      </c>
    </row>
    <row r="349" spans="1:6" x14ac:dyDescent="0.25">
      <c r="A349" t="s">
        <v>1</v>
      </c>
      <c r="B349">
        <v>2880</v>
      </c>
      <c r="C349">
        <v>9</v>
      </c>
      <c r="D349">
        <v>4</v>
      </c>
      <c r="E349">
        <v>11</v>
      </c>
      <c r="F349" t="s">
        <v>21</v>
      </c>
    </row>
    <row r="350" spans="1:6" x14ac:dyDescent="0.25">
      <c r="A350" t="s">
        <v>1</v>
      </c>
      <c r="B350">
        <v>13936</v>
      </c>
      <c r="C350">
        <v>9</v>
      </c>
      <c r="D350">
        <v>4</v>
      </c>
      <c r="E350">
        <v>11</v>
      </c>
      <c r="F350" t="s">
        <v>21</v>
      </c>
    </row>
    <row r="351" spans="1:6" x14ac:dyDescent="0.25">
      <c r="A351" t="s">
        <v>8</v>
      </c>
      <c r="B351">
        <v>89972</v>
      </c>
      <c r="C351">
        <v>10</v>
      </c>
      <c r="D351">
        <v>4</v>
      </c>
      <c r="E351">
        <v>11</v>
      </c>
      <c r="F351" t="s">
        <v>21</v>
      </c>
    </row>
    <row r="352" spans="1:6" x14ac:dyDescent="0.25">
      <c r="A352" t="s">
        <v>0</v>
      </c>
      <c r="B352">
        <v>6500</v>
      </c>
      <c r="C352">
        <v>12</v>
      </c>
      <c r="D352">
        <v>4</v>
      </c>
      <c r="E352">
        <v>11</v>
      </c>
      <c r="F352" t="s">
        <v>21</v>
      </c>
    </row>
    <row r="353" spans="1:6" x14ac:dyDescent="0.25">
      <c r="A353" t="s">
        <v>0</v>
      </c>
      <c r="B353">
        <v>7247</v>
      </c>
      <c r="C353">
        <v>12</v>
      </c>
      <c r="D353">
        <v>4</v>
      </c>
      <c r="E353">
        <v>11</v>
      </c>
      <c r="F353" t="s">
        <v>21</v>
      </c>
    </row>
    <row r="354" spans="1:6" x14ac:dyDescent="0.25">
      <c r="A354" t="s">
        <v>9</v>
      </c>
      <c r="B354">
        <v>1113</v>
      </c>
      <c r="C354">
        <v>15</v>
      </c>
      <c r="D354">
        <v>4</v>
      </c>
      <c r="E354">
        <v>11</v>
      </c>
      <c r="F354" t="s">
        <v>4</v>
      </c>
    </row>
    <row r="355" spans="1:6" x14ac:dyDescent="0.25">
      <c r="A355" t="s">
        <v>1</v>
      </c>
      <c r="B355">
        <v>15498</v>
      </c>
      <c r="C355">
        <v>17</v>
      </c>
      <c r="D355">
        <v>4</v>
      </c>
      <c r="E355">
        <v>11</v>
      </c>
      <c r="F355" t="s">
        <v>21</v>
      </c>
    </row>
    <row r="356" spans="1:6" x14ac:dyDescent="0.25">
      <c r="A356" t="s">
        <v>0</v>
      </c>
      <c r="B356">
        <v>10243</v>
      </c>
      <c r="C356">
        <v>18</v>
      </c>
      <c r="D356">
        <v>4</v>
      </c>
      <c r="E356">
        <v>11</v>
      </c>
      <c r="F356" t="s">
        <v>21</v>
      </c>
    </row>
    <row r="357" spans="1:6" x14ac:dyDescent="0.25">
      <c r="A357" t="s">
        <v>0</v>
      </c>
      <c r="B357">
        <v>10243</v>
      </c>
      <c r="C357">
        <v>18</v>
      </c>
      <c r="D357">
        <v>4</v>
      </c>
      <c r="E357">
        <v>11</v>
      </c>
      <c r="F357" t="s">
        <v>21</v>
      </c>
    </row>
    <row r="358" spans="1:6" x14ac:dyDescent="0.25">
      <c r="A358" t="s">
        <v>1</v>
      </c>
      <c r="B358">
        <v>6161</v>
      </c>
      <c r="C358">
        <v>18</v>
      </c>
      <c r="D358">
        <v>4</v>
      </c>
      <c r="E358">
        <v>11</v>
      </c>
      <c r="F358" t="s">
        <v>21</v>
      </c>
    </row>
    <row r="359" spans="1:6" x14ac:dyDescent="0.25">
      <c r="A359" t="s">
        <v>1</v>
      </c>
      <c r="B359">
        <v>1283</v>
      </c>
      <c r="C359">
        <v>18</v>
      </c>
      <c r="D359">
        <v>4</v>
      </c>
      <c r="E359">
        <v>11</v>
      </c>
      <c r="F359" t="s">
        <v>21</v>
      </c>
    </row>
    <row r="360" spans="1:6" x14ac:dyDescent="0.25">
      <c r="A360" t="s">
        <v>2</v>
      </c>
      <c r="B360">
        <v>13088</v>
      </c>
      <c r="C360">
        <v>8</v>
      </c>
      <c r="D360">
        <v>5</v>
      </c>
      <c r="E360">
        <v>11</v>
      </c>
      <c r="F360" t="s">
        <v>21</v>
      </c>
    </row>
    <row r="361" spans="1:6" x14ac:dyDescent="0.25">
      <c r="A361" t="s">
        <v>2</v>
      </c>
      <c r="B361">
        <v>8286</v>
      </c>
      <c r="C361">
        <v>8</v>
      </c>
      <c r="D361">
        <v>5</v>
      </c>
      <c r="E361">
        <v>11</v>
      </c>
      <c r="F361" t="s">
        <v>21</v>
      </c>
    </row>
    <row r="362" spans="1:6" x14ac:dyDescent="0.25">
      <c r="A362" t="s">
        <v>1</v>
      </c>
      <c r="B362">
        <v>16578</v>
      </c>
      <c r="C362">
        <v>8</v>
      </c>
      <c r="D362">
        <v>5</v>
      </c>
      <c r="E362">
        <v>11</v>
      </c>
      <c r="F362" t="s">
        <v>21</v>
      </c>
    </row>
    <row r="363" spans="1:6" x14ac:dyDescent="0.25">
      <c r="A363" t="s">
        <v>1</v>
      </c>
      <c r="B363">
        <v>12594</v>
      </c>
      <c r="C363">
        <v>8</v>
      </c>
      <c r="D363">
        <v>5</v>
      </c>
      <c r="E363">
        <v>11</v>
      </c>
      <c r="F363" t="s">
        <v>21</v>
      </c>
    </row>
    <row r="364" spans="1:6" x14ac:dyDescent="0.25">
      <c r="A364" t="s">
        <v>1</v>
      </c>
      <c r="B364">
        <v>49135</v>
      </c>
      <c r="C364">
        <v>9</v>
      </c>
      <c r="D364">
        <v>5</v>
      </c>
      <c r="E364">
        <v>11</v>
      </c>
      <c r="F364" t="s">
        <v>21</v>
      </c>
    </row>
    <row r="365" spans="1:6" x14ac:dyDescent="0.25">
      <c r="A365" t="s">
        <v>1</v>
      </c>
      <c r="B365">
        <v>17469</v>
      </c>
      <c r="C365">
        <v>10</v>
      </c>
      <c r="D365">
        <v>5</v>
      </c>
      <c r="E365">
        <v>11</v>
      </c>
      <c r="F365" t="s">
        <v>21</v>
      </c>
    </row>
    <row r="366" spans="1:6" x14ac:dyDescent="0.25">
      <c r="A366" t="s">
        <v>1</v>
      </c>
      <c r="B366">
        <v>11276</v>
      </c>
      <c r="C366">
        <v>10</v>
      </c>
      <c r="D366">
        <v>5</v>
      </c>
      <c r="E366">
        <v>11</v>
      </c>
      <c r="F366" t="s">
        <v>21</v>
      </c>
    </row>
    <row r="367" spans="1:6" x14ac:dyDescent="0.25">
      <c r="A367" t="s">
        <v>1</v>
      </c>
      <c r="B367">
        <v>6477</v>
      </c>
      <c r="C367">
        <v>11</v>
      </c>
      <c r="D367">
        <v>5</v>
      </c>
      <c r="E367">
        <v>11</v>
      </c>
      <c r="F367" t="s">
        <v>21</v>
      </c>
    </row>
    <row r="368" spans="1:6" x14ac:dyDescent="0.25">
      <c r="A368" t="s">
        <v>8</v>
      </c>
      <c r="B368">
        <v>16717</v>
      </c>
      <c r="C368">
        <v>11</v>
      </c>
      <c r="D368">
        <v>5</v>
      </c>
      <c r="E368">
        <v>11</v>
      </c>
      <c r="F368" t="s">
        <v>4</v>
      </c>
    </row>
    <row r="369" spans="1:9" x14ac:dyDescent="0.25">
      <c r="A369" t="s">
        <v>9</v>
      </c>
      <c r="B369">
        <v>1240</v>
      </c>
      <c r="C369">
        <v>12</v>
      </c>
      <c r="D369">
        <v>5</v>
      </c>
      <c r="E369">
        <v>11</v>
      </c>
      <c r="F369" t="s">
        <v>4</v>
      </c>
    </row>
    <row r="370" spans="1:9" x14ac:dyDescent="0.25">
      <c r="A370" t="s">
        <v>2</v>
      </c>
      <c r="B370">
        <v>7656</v>
      </c>
      <c r="C370">
        <v>12</v>
      </c>
      <c r="D370">
        <v>5</v>
      </c>
      <c r="E370">
        <v>11</v>
      </c>
      <c r="F370" t="s">
        <v>21</v>
      </c>
    </row>
    <row r="371" spans="1:9" x14ac:dyDescent="0.25">
      <c r="A371" t="s">
        <v>0</v>
      </c>
      <c r="B371">
        <v>18470</v>
      </c>
      <c r="C371">
        <v>13</v>
      </c>
      <c r="D371">
        <v>5</v>
      </c>
      <c r="E371">
        <v>11</v>
      </c>
      <c r="F371" t="s">
        <v>5</v>
      </c>
    </row>
    <row r="372" spans="1:9" x14ac:dyDescent="0.25">
      <c r="A372" t="s">
        <v>9</v>
      </c>
      <c r="B372">
        <v>2328</v>
      </c>
      <c r="C372">
        <v>13</v>
      </c>
      <c r="D372">
        <v>5</v>
      </c>
      <c r="E372">
        <v>11</v>
      </c>
      <c r="F372" t="s">
        <v>21</v>
      </c>
    </row>
    <row r="373" spans="1:9" x14ac:dyDescent="0.25">
      <c r="A373" t="s">
        <v>1</v>
      </c>
      <c r="B373">
        <v>4242</v>
      </c>
      <c r="C373">
        <v>14</v>
      </c>
      <c r="D373">
        <v>5</v>
      </c>
      <c r="E373">
        <v>11</v>
      </c>
      <c r="F373" t="s">
        <v>21</v>
      </c>
    </row>
    <row r="374" spans="1:9" x14ac:dyDescent="0.25">
      <c r="A374" t="s">
        <v>9</v>
      </c>
      <c r="B374">
        <v>617</v>
      </c>
      <c r="C374">
        <v>14</v>
      </c>
      <c r="D374">
        <v>5</v>
      </c>
      <c r="E374">
        <v>11</v>
      </c>
      <c r="F374" t="s">
        <v>4</v>
      </c>
    </row>
    <row r="375" spans="1:9" x14ac:dyDescent="0.25">
      <c r="A375" t="s">
        <v>2</v>
      </c>
      <c r="B375">
        <v>13666</v>
      </c>
      <c r="C375">
        <v>14</v>
      </c>
      <c r="D375">
        <v>5</v>
      </c>
      <c r="E375">
        <v>11</v>
      </c>
      <c r="F375" t="s">
        <v>4</v>
      </c>
    </row>
    <row r="376" spans="1:9" x14ac:dyDescent="0.25">
      <c r="A376" t="s">
        <v>2</v>
      </c>
      <c r="B376">
        <v>13666</v>
      </c>
      <c r="C376">
        <v>14</v>
      </c>
      <c r="D376">
        <v>5</v>
      </c>
      <c r="E376">
        <v>11</v>
      </c>
      <c r="F376" t="s">
        <v>4</v>
      </c>
      <c r="G376" t="s">
        <v>22</v>
      </c>
      <c r="H376" s="33">
        <v>45601</v>
      </c>
      <c r="I376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306F1-DCB8-4C0C-BC2B-9F04B4E91AC5}">
  <sheetPr codeName="Sheet3"/>
  <dimension ref="B1:R36"/>
  <sheetViews>
    <sheetView workbookViewId="0">
      <selection activeCell="B2" sqref="B2"/>
    </sheetView>
  </sheetViews>
  <sheetFormatPr defaultRowHeight="15" x14ac:dyDescent="0.25"/>
  <cols>
    <col min="2" max="2" width="12.7109375" customWidth="1"/>
    <col min="17" max="17" width="8.42578125" customWidth="1"/>
    <col min="18" max="18" width="13.5703125" customWidth="1"/>
  </cols>
  <sheetData>
    <row r="1" spans="2:18" ht="15.75" thickBot="1" x14ac:dyDescent="0.3">
      <c r="B1" s="30" t="s">
        <v>3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R1" s="21"/>
    </row>
    <row r="2" spans="2:18" ht="16.5" thickTop="1" thickBot="1" x14ac:dyDescent="0.3">
      <c r="B2" s="5"/>
      <c r="C2" s="6" t="str">
        <f>TEXT(8,"00")</f>
        <v>08</v>
      </c>
      <c r="D2" s="6" t="str">
        <f>TEXT(9,"00")</f>
        <v>09</v>
      </c>
      <c r="E2" s="5">
        <v>10</v>
      </c>
      <c r="F2" s="5">
        <v>11</v>
      </c>
      <c r="G2" s="5">
        <v>12</v>
      </c>
      <c r="H2" s="5">
        <v>13</v>
      </c>
      <c r="I2" s="5">
        <v>14</v>
      </c>
      <c r="J2" s="5">
        <v>15</v>
      </c>
      <c r="K2" s="5">
        <v>16</v>
      </c>
      <c r="L2" s="5">
        <v>17</v>
      </c>
      <c r="M2" s="5">
        <v>18</v>
      </c>
      <c r="N2" s="5">
        <v>19</v>
      </c>
      <c r="O2" s="5">
        <v>20</v>
      </c>
      <c r="Q2" s="22" t="s">
        <v>19</v>
      </c>
      <c r="R2" s="25">
        <v>5</v>
      </c>
    </row>
    <row r="3" spans="2:18" ht="16.5" thickTop="1" thickBot="1" x14ac:dyDescent="0.3">
      <c r="B3" s="2" t="s">
        <v>0</v>
      </c>
      <c r="C3" s="3">
        <f>SUMIFS(CONCENTRADO!$B:$B,CONCENTRADO!$A:$A,TOTAL!$B3,CONCENTRADO!$C:$C,TOTAL!C$2,CONCENTRADO!$F:$F,TOTAL!$B$1,CONCENTRADO!$D:$D,TOTAL!$R$2,CONCENTRADO!$E:$E,TOTAL!$R$3)</f>
        <v>0</v>
      </c>
      <c r="D3" s="3">
        <f>SUMIFS(CONCENTRADO!$B:$B,CONCENTRADO!$A:$A,TOTAL!$B3,CONCENTRADO!$C:$C,TOTAL!D$2,CONCENTRADO!$F:$F,TOTAL!$B$1,CONCENTRADO!$D:$D,TOTAL!$R$2,CONCENTRADO!$E:$E,TOTAL!$R$3)</f>
        <v>0</v>
      </c>
      <c r="E3" s="3">
        <f>SUMIFS(CONCENTRADO!$B:$B,CONCENTRADO!$A:$A,TOTAL!$B3,CONCENTRADO!$C:$C,TOTAL!E$2,CONCENTRADO!$F:$F,TOTAL!$B$1,CONCENTRADO!$D:$D,TOTAL!$R$2,CONCENTRADO!$E:$E,TOTAL!$R$3)</f>
        <v>0</v>
      </c>
      <c r="F3" s="3">
        <f>SUMIFS(CONCENTRADO!$B:$B,CONCENTRADO!$A:$A,TOTAL!$B3,CONCENTRADO!$C:$C,TOTAL!F$2,CONCENTRADO!$F:$F,TOTAL!$B$1,CONCENTRADO!$D:$D,TOTAL!$R$2,CONCENTRADO!$E:$E,TOTAL!$R$3)</f>
        <v>0</v>
      </c>
      <c r="G3" s="3">
        <f>SUMIFS(CONCENTRADO!$B:$B,CONCENTRADO!$A:$A,TOTAL!$B3,CONCENTRADO!$C:$C,TOTAL!G$2,CONCENTRADO!$F:$F,TOTAL!$B$1,CONCENTRADO!$D:$D,TOTAL!$R$2,CONCENTRADO!$E:$E,TOTAL!$R$3)</f>
        <v>0</v>
      </c>
      <c r="H3" s="3">
        <f>SUMIFS(CONCENTRADO!$B:$B,CONCENTRADO!$A:$A,TOTAL!$B3,CONCENTRADO!$C:$C,TOTAL!H$2,CONCENTRADO!$F:$F,TOTAL!$B$1,CONCENTRADO!$D:$D,TOTAL!$R$2,CONCENTRADO!$E:$E,TOTAL!$R$3)</f>
        <v>0</v>
      </c>
      <c r="I3" s="3">
        <f>SUMIFS(CONCENTRADO!$B:$B,CONCENTRADO!$A:$A,TOTAL!$B3,CONCENTRADO!$C:$C,TOTAL!I$2,CONCENTRADO!$F:$F,TOTAL!$B$1,CONCENTRADO!$D:$D,TOTAL!$R$2,CONCENTRADO!$E:$E,TOTAL!$R$3)</f>
        <v>0</v>
      </c>
      <c r="J3" s="3">
        <f>SUMIFS(CONCENTRADO!$B:$B,CONCENTRADO!$A:$A,TOTAL!$B3,CONCENTRADO!$C:$C,TOTAL!J$2,CONCENTRADO!$F:$F,TOTAL!$B$1,CONCENTRADO!$D:$D,TOTAL!$R$2,CONCENTRADO!$E:$E,TOTAL!$R$3)</f>
        <v>0</v>
      </c>
      <c r="K3" s="3">
        <f>SUMIFS(CONCENTRADO!$B:$B,CONCENTRADO!$A:$A,TOTAL!$B3,CONCENTRADO!$C:$C,TOTAL!K$2,CONCENTRADO!$F:$F,TOTAL!$B$1,CONCENTRADO!$D:$D,TOTAL!$R$2,CONCENTRADO!$E:$E,TOTAL!$R$3)</f>
        <v>0</v>
      </c>
      <c r="L3" s="3">
        <f>SUMIFS(CONCENTRADO!$B:$B,CONCENTRADO!$A:$A,TOTAL!$B3,CONCENTRADO!$C:$C,TOTAL!L$2,CONCENTRADO!$F:$F,TOTAL!$B$1,CONCENTRADO!$D:$D,TOTAL!$R$2,CONCENTRADO!$E:$E,TOTAL!$R$3)</f>
        <v>0</v>
      </c>
      <c r="M3" s="3">
        <f>SUMIFS(CONCENTRADO!$B:$B,CONCENTRADO!$A:$A,TOTAL!$B3,CONCENTRADO!$C:$C,TOTAL!M$2,CONCENTRADO!$F:$F,TOTAL!$B$1,CONCENTRADO!$D:$D,TOTAL!$R$2,CONCENTRADO!$E:$E,TOTAL!$R$3)</f>
        <v>0</v>
      </c>
      <c r="N3" s="3">
        <f>SUMIFS(CONCENTRADO!$B:$B,CONCENTRADO!$A:$A,TOTAL!$B3,CONCENTRADO!$C:$C,TOTAL!N$2,CONCENTRADO!$F:$F,TOTAL!$B$1,CONCENTRADO!$D:$D,TOTAL!$R$2,CONCENTRADO!$E:$E,TOTAL!$R$3)</f>
        <v>0</v>
      </c>
      <c r="O3" s="3">
        <f>SUMIFS(CONCENTRADO!$B:$B,CONCENTRADO!$A:$A,TOTAL!$B3,CONCENTRADO!$C:$C,TOTAL!O$2,CONCENTRADO!$F:$F,TOTAL!$B$1,CONCENTRADO!$D:$D,TOTAL!$R$2,CONCENTRADO!$E:$E,TOTAL!$R$3)</f>
        <v>0</v>
      </c>
      <c r="P3" s="23"/>
      <c r="Q3" s="24" t="s">
        <v>20</v>
      </c>
      <c r="R3" s="22">
        <v>11</v>
      </c>
    </row>
    <row r="4" spans="2:18" ht="15.75" thickTop="1" x14ac:dyDescent="0.25">
      <c r="B4" s="3" t="s">
        <v>1</v>
      </c>
      <c r="C4" s="3">
        <f>SUMIFS(CONCENTRADO!$B:$B,CONCENTRADO!$A:$A,TOTAL!$B4,CONCENTRADO!$C:$C,TOTAL!C$2,CONCENTRADO!$F:$F,TOTAL!$B$1,CONCENTRADO!$D:$D,TOTAL!$R$2,CONCENTRADO!$E:$E,TOTAL!$R$3)</f>
        <v>0</v>
      </c>
      <c r="D4" s="3">
        <f>SUMIFS(CONCENTRADO!$B:$B,CONCENTRADO!$A:$A,TOTAL!$B4,CONCENTRADO!$C:$C,TOTAL!D$2,CONCENTRADO!$F:$F,TOTAL!$B$1,CONCENTRADO!$D:$D,TOTAL!$R$2,CONCENTRADO!$E:$E,TOTAL!$R$3)</f>
        <v>0</v>
      </c>
      <c r="E4" s="3">
        <f>SUMIFS(CONCENTRADO!$B:$B,CONCENTRADO!$A:$A,TOTAL!$B4,CONCENTRADO!$C:$C,TOTAL!E$2,CONCENTRADO!$F:$F,TOTAL!$B$1,CONCENTRADO!$D:$D,TOTAL!$R$2,CONCENTRADO!$E:$E,TOTAL!$R$3)</f>
        <v>0</v>
      </c>
      <c r="F4" s="3">
        <f>SUMIFS(CONCENTRADO!$B:$B,CONCENTRADO!$A:$A,TOTAL!$B4,CONCENTRADO!$C:$C,TOTAL!F$2,CONCENTRADO!$F:$F,TOTAL!$B$1,CONCENTRADO!$D:$D,TOTAL!$R$2,CONCENTRADO!$E:$E,TOTAL!$R$3)</f>
        <v>0</v>
      </c>
      <c r="G4" s="3">
        <f>SUMIFS(CONCENTRADO!$B:$B,CONCENTRADO!$A:$A,TOTAL!$B4,CONCENTRADO!$C:$C,TOTAL!G$2,CONCENTRADO!$F:$F,TOTAL!$B$1,CONCENTRADO!$D:$D,TOTAL!$R$2,CONCENTRADO!$E:$E,TOTAL!$R$3)</f>
        <v>0</v>
      </c>
      <c r="H4" s="3">
        <f>SUMIFS(CONCENTRADO!$B:$B,CONCENTRADO!$A:$A,TOTAL!$B4,CONCENTRADO!$C:$C,TOTAL!H$2,CONCENTRADO!$F:$F,TOTAL!$B$1,CONCENTRADO!$D:$D,TOTAL!$R$2,CONCENTRADO!$E:$E,TOTAL!$R$3)</f>
        <v>0</v>
      </c>
      <c r="I4" s="3">
        <f>SUMIFS(CONCENTRADO!$B:$B,CONCENTRADO!$A:$A,TOTAL!$B4,CONCENTRADO!$C:$C,TOTAL!I$2,CONCENTRADO!$F:$F,TOTAL!$B$1,CONCENTRADO!$D:$D,TOTAL!$R$2,CONCENTRADO!$E:$E,TOTAL!$R$3)</f>
        <v>0</v>
      </c>
      <c r="J4" s="3">
        <f>SUMIFS(CONCENTRADO!$B:$B,CONCENTRADO!$A:$A,TOTAL!$B4,CONCENTRADO!$C:$C,TOTAL!J$2,CONCENTRADO!$F:$F,TOTAL!$B$1,CONCENTRADO!$D:$D,TOTAL!$R$2,CONCENTRADO!$E:$E,TOTAL!$R$3)</f>
        <v>0</v>
      </c>
      <c r="K4" s="3">
        <f>SUMIFS(CONCENTRADO!$B:$B,CONCENTRADO!$A:$A,TOTAL!$B4,CONCENTRADO!$C:$C,TOTAL!K$2,CONCENTRADO!$F:$F,TOTAL!$B$1,CONCENTRADO!$D:$D,TOTAL!$R$2,CONCENTRADO!$E:$E,TOTAL!$R$3)</f>
        <v>0</v>
      </c>
      <c r="L4" s="3">
        <f>SUMIFS(CONCENTRADO!$B:$B,CONCENTRADO!$A:$A,TOTAL!$B4,CONCENTRADO!$C:$C,TOTAL!L$2,CONCENTRADO!$F:$F,TOTAL!$B$1,CONCENTRADO!$D:$D,TOTAL!$R$2,CONCENTRADO!$E:$E,TOTAL!$R$3)</f>
        <v>0</v>
      </c>
      <c r="M4" s="3">
        <f>SUMIFS(CONCENTRADO!$B:$B,CONCENTRADO!$A:$A,TOTAL!$B4,CONCENTRADO!$C:$C,TOTAL!M$2,CONCENTRADO!$F:$F,TOTAL!$B$1,CONCENTRADO!$D:$D,TOTAL!$R$2,CONCENTRADO!$E:$E,TOTAL!$R$3)</f>
        <v>0</v>
      </c>
      <c r="N4" s="3">
        <f>SUMIFS(CONCENTRADO!$B:$B,CONCENTRADO!$A:$A,TOTAL!$B4,CONCENTRADO!$C:$C,TOTAL!N$2,CONCENTRADO!$F:$F,TOTAL!$B$1,CONCENTRADO!$D:$D,TOTAL!$R$2,CONCENTRADO!$E:$E,TOTAL!$R$3)</f>
        <v>0</v>
      </c>
      <c r="O4" s="3">
        <f>SUMIFS(CONCENTRADO!$B:$B,CONCENTRADO!$A:$A,TOTAL!$B4,CONCENTRADO!$C:$C,TOTAL!O$2,CONCENTRADO!$F:$F,TOTAL!$B$1,CONCENTRADO!$D:$D,TOTAL!$R$2,CONCENTRADO!$E:$E,TOTAL!$R$3)</f>
        <v>0</v>
      </c>
      <c r="Q4" s="26">
        <v>1</v>
      </c>
      <c r="R4" s="27">
        <v>1</v>
      </c>
    </row>
    <row r="5" spans="2:18" x14ac:dyDescent="0.25">
      <c r="B5" s="3" t="s">
        <v>2</v>
      </c>
      <c r="C5" s="3">
        <f>SUMIFS(CONCENTRADO!$B:$B,CONCENTRADO!$A:$A,TOTAL!$B5,CONCENTRADO!$C:$C,TOTAL!C$2,CONCENTRADO!$F:$F,TOTAL!$B$1,CONCENTRADO!$D:$D,TOTAL!$R$2,CONCENTRADO!$E:$E,TOTAL!$R$3)</f>
        <v>0</v>
      </c>
      <c r="D5" s="3">
        <f>SUMIFS(CONCENTRADO!$B:$B,CONCENTRADO!$A:$A,TOTAL!$B5,CONCENTRADO!$C:$C,TOTAL!D$2,CONCENTRADO!$F:$F,TOTAL!$B$1,CONCENTRADO!$D:$D,TOTAL!$R$2,CONCENTRADO!$E:$E,TOTAL!$R$3)</f>
        <v>0</v>
      </c>
      <c r="E5" s="3">
        <f>SUMIFS(CONCENTRADO!$B:$B,CONCENTRADO!$A:$A,TOTAL!$B5,CONCENTRADO!$C:$C,TOTAL!E$2,CONCENTRADO!$F:$F,TOTAL!$B$1,CONCENTRADO!$D:$D,TOTAL!$R$2,CONCENTRADO!$E:$E,TOTAL!$R$3)</f>
        <v>0</v>
      </c>
      <c r="F5" s="3">
        <f>SUMIFS(CONCENTRADO!$B:$B,CONCENTRADO!$A:$A,TOTAL!$B5,CONCENTRADO!$C:$C,TOTAL!F$2,CONCENTRADO!$F:$F,TOTAL!$B$1,CONCENTRADO!$D:$D,TOTAL!$R$2,CONCENTRADO!$E:$E,TOTAL!$R$3)</f>
        <v>0</v>
      </c>
      <c r="G5" s="3">
        <f>SUMIFS(CONCENTRADO!$B:$B,CONCENTRADO!$A:$A,TOTAL!$B5,CONCENTRADO!$C:$C,TOTAL!G$2,CONCENTRADO!$F:$F,TOTAL!$B$1,CONCENTRADO!$D:$D,TOTAL!$R$2,CONCENTRADO!$E:$E,TOTAL!$R$3)</f>
        <v>0</v>
      </c>
      <c r="H5" s="3">
        <f>SUMIFS(CONCENTRADO!$B:$B,CONCENTRADO!$A:$A,TOTAL!$B5,CONCENTRADO!$C:$C,TOTAL!H$2,CONCENTRADO!$F:$F,TOTAL!$B$1,CONCENTRADO!$D:$D,TOTAL!$R$2,CONCENTRADO!$E:$E,TOTAL!$R$3)</f>
        <v>0</v>
      </c>
      <c r="I5" s="3">
        <f>SUMIFS(CONCENTRADO!$B:$B,CONCENTRADO!$A:$A,TOTAL!$B5,CONCENTRADO!$C:$C,TOTAL!I$2,CONCENTRADO!$F:$F,TOTAL!$B$1,CONCENTRADO!$D:$D,TOTAL!$R$2,CONCENTRADO!$E:$E,TOTAL!$R$3)</f>
        <v>0</v>
      </c>
      <c r="J5" s="3">
        <f>SUMIFS(CONCENTRADO!$B:$B,CONCENTRADO!$A:$A,TOTAL!$B5,CONCENTRADO!$C:$C,TOTAL!J$2,CONCENTRADO!$F:$F,TOTAL!$B$1,CONCENTRADO!$D:$D,TOTAL!$R$2,CONCENTRADO!$E:$E,TOTAL!$R$3)</f>
        <v>0</v>
      </c>
      <c r="K5" s="3">
        <f>SUMIFS(CONCENTRADO!$B:$B,CONCENTRADO!$A:$A,TOTAL!$B5,CONCENTRADO!$C:$C,TOTAL!K$2,CONCENTRADO!$F:$F,TOTAL!$B$1,CONCENTRADO!$D:$D,TOTAL!$R$2,CONCENTRADO!$E:$E,TOTAL!$R$3)</f>
        <v>0</v>
      </c>
      <c r="L5" s="3">
        <f>SUMIFS(CONCENTRADO!$B:$B,CONCENTRADO!$A:$A,TOTAL!$B5,CONCENTRADO!$C:$C,TOTAL!L$2,CONCENTRADO!$F:$F,TOTAL!$B$1,CONCENTRADO!$D:$D,TOTAL!$R$2,CONCENTRADO!$E:$E,TOTAL!$R$3)</f>
        <v>0</v>
      </c>
      <c r="M5" s="3">
        <f>SUMIFS(CONCENTRADO!$B:$B,CONCENTRADO!$A:$A,TOTAL!$B5,CONCENTRADO!$C:$C,TOTAL!M$2,CONCENTRADO!$F:$F,TOTAL!$B$1,CONCENTRADO!$D:$D,TOTAL!$R$2,CONCENTRADO!$E:$E,TOTAL!$R$3)</f>
        <v>0</v>
      </c>
      <c r="N5" s="3">
        <f>SUMIFS(CONCENTRADO!$B:$B,CONCENTRADO!$A:$A,TOTAL!$B5,CONCENTRADO!$C:$C,TOTAL!N$2,CONCENTRADO!$F:$F,TOTAL!$B$1,CONCENTRADO!$D:$D,TOTAL!$R$2,CONCENTRADO!$E:$E,TOTAL!$R$3)</f>
        <v>0</v>
      </c>
      <c r="O5" s="3">
        <f>SUMIFS(CONCENTRADO!$B:$B,CONCENTRADO!$A:$A,TOTAL!$B5,CONCENTRADO!$C:$C,TOTAL!O$2,CONCENTRADO!$F:$F,TOTAL!$B$1,CONCENTRADO!$D:$D,TOTAL!$R$2,CONCENTRADO!$E:$E,TOTAL!$R$3)</f>
        <v>0</v>
      </c>
      <c r="Q5" s="26">
        <v>2</v>
      </c>
      <c r="R5" s="26">
        <v>2</v>
      </c>
    </row>
    <row r="6" spans="2:18" x14ac:dyDescent="0.25">
      <c r="B6" s="3" t="s">
        <v>7</v>
      </c>
      <c r="C6" s="3">
        <f>SUMIFS(CONCENTRADO!$B:$B,CONCENTRADO!$A:$A,TOTAL!$B6,CONCENTRADO!$C:$C,TOTAL!C$2,CONCENTRADO!$F:$F,TOTAL!$B$1,CONCENTRADO!$D:$D,TOTAL!$R$2,CONCENTRADO!$E:$E,TOTAL!$R$3)</f>
        <v>0</v>
      </c>
      <c r="D6" s="3">
        <f>SUMIFS(CONCENTRADO!$B:$B,CONCENTRADO!$A:$A,TOTAL!$B6,CONCENTRADO!$C:$C,TOTAL!D$2,CONCENTRADO!$F:$F,TOTAL!$B$1,CONCENTRADO!$D:$D,TOTAL!$R$2,CONCENTRADO!$E:$E,TOTAL!$R$3)</f>
        <v>0</v>
      </c>
      <c r="E6" s="3">
        <f>SUMIFS(CONCENTRADO!$B:$B,CONCENTRADO!$A:$A,TOTAL!$B6,CONCENTRADO!$C:$C,TOTAL!E$2,CONCENTRADO!$F:$F,TOTAL!$B$1,CONCENTRADO!$D:$D,TOTAL!$R$2,CONCENTRADO!$E:$E,TOTAL!$R$3)</f>
        <v>0</v>
      </c>
      <c r="F6" s="3">
        <f>SUMIFS(CONCENTRADO!$B:$B,CONCENTRADO!$A:$A,TOTAL!$B6,CONCENTRADO!$C:$C,TOTAL!F$2,CONCENTRADO!$F:$F,TOTAL!$B$1,CONCENTRADO!$D:$D,TOTAL!$R$2,CONCENTRADO!$E:$E,TOTAL!$R$3)</f>
        <v>0</v>
      </c>
      <c r="G6" s="3">
        <f>SUMIFS(CONCENTRADO!$B:$B,CONCENTRADO!$A:$A,TOTAL!$B6,CONCENTRADO!$C:$C,TOTAL!G$2,CONCENTRADO!$F:$F,TOTAL!$B$1,CONCENTRADO!$D:$D,TOTAL!$R$2,CONCENTRADO!$E:$E,TOTAL!$R$3)</f>
        <v>0</v>
      </c>
      <c r="H6" s="3">
        <f>SUMIFS(CONCENTRADO!$B:$B,CONCENTRADO!$A:$A,TOTAL!$B6,CONCENTRADO!$C:$C,TOTAL!H$2,CONCENTRADO!$F:$F,TOTAL!$B$1,CONCENTRADO!$D:$D,TOTAL!$R$2,CONCENTRADO!$E:$E,TOTAL!$R$3)</f>
        <v>0</v>
      </c>
      <c r="I6" s="3">
        <f>SUMIFS(CONCENTRADO!$B:$B,CONCENTRADO!$A:$A,TOTAL!$B6,CONCENTRADO!$C:$C,TOTAL!I$2,CONCENTRADO!$F:$F,TOTAL!$B$1,CONCENTRADO!$D:$D,TOTAL!$R$2,CONCENTRADO!$E:$E,TOTAL!$R$3)</f>
        <v>0</v>
      </c>
      <c r="J6" s="3">
        <f>SUMIFS(CONCENTRADO!$B:$B,CONCENTRADO!$A:$A,TOTAL!$B6,CONCENTRADO!$C:$C,TOTAL!J$2,CONCENTRADO!$F:$F,TOTAL!$B$1,CONCENTRADO!$D:$D,TOTAL!$R$2,CONCENTRADO!$E:$E,TOTAL!$R$3)</f>
        <v>0</v>
      </c>
      <c r="K6" s="3">
        <f>SUMIFS(CONCENTRADO!$B:$B,CONCENTRADO!$A:$A,TOTAL!$B6,CONCENTRADO!$C:$C,TOTAL!K$2,CONCENTRADO!$F:$F,TOTAL!$B$1,CONCENTRADO!$D:$D,TOTAL!$R$2,CONCENTRADO!$E:$E,TOTAL!$R$3)</f>
        <v>0</v>
      </c>
      <c r="L6" s="3">
        <f>SUMIFS(CONCENTRADO!$B:$B,CONCENTRADO!$A:$A,TOTAL!$B6,CONCENTRADO!$C:$C,TOTAL!L$2,CONCENTRADO!$F:$F,TOTAL!$B$1,CONCENTRADO!$D:$D,TOTAL!$R$2,CONCENTRADO!$E:$E,TOTAL!$R$3)</f>
        <v>0</v>
      </c>
      <c r="M6" s="3">
        <f>SUMIFS(CONCENTRADO!$B:$B,CONCENTRADO!$A:$A,TOTAL!$B6,CONCENTRADO!$C:$C,TOTAL!M$2,CONCENTRADO!$F:$F,TOTAL!$B$1,CONCENTRADO!$D:$D,TOTAL!$R$2,CONCENTRADO!$E:$E,TOTAL!$R$3)</f>
        <v>0</v>
      </c>
      <c r="N6" s="3">
        <f>SUMIFS(CONCENTRADO!$B:$B,CONCENTRADO!$A:$A,TOTAL!$B6,CONCENTRADO!$C:$C,TOTAL!N$2,CONCENTRADO!$F:$F,TOTAL!$B$1,CONCENTRADO!$D:$D,TOTAL!$R$2,CONCENTRADO!$E:$E,TOTAL!$R$3)</f>
        <v>0</v>
      </c>
      <c r="O6" s="3">
        <f>SUMIFS(CONCENTRADO!$B:$B,CONCENTRADO!$A:$A,TOTAL!$B6,CONCENTRADO!$C:$C,TOTAL!O$2,CONCENTRADO!$F:$F,TOTAL!$B$1,CONCENTRADO!$D:$D,TOTAL!$R$2,CONCENTRADO!$E:$E,TOTAL!$R$3)</f>
        <v>0</v>
      </c>
      <c r="Q6" s="26">
        <v>3</v>
      </c>
      <c r="R6" s="26">
        <v>3</v>
      </c>
    </row>
    <row r="7" spans="2:18" x14ac:dyDescent="0.25">
      <c r="B7" s="3" t="s">
        <v>8</v>
      </c>
      <c r="C7" s="3">
        <f>SUMIFS(CONCENTRADO!$B:$B,CONCENTRADO!$A:$A,TOTAL!$B7,CONCENTRADO!$C:$C,TOTAL!C$2,CONCENTRADO!$F:$F,TOTAL!$B$1,CONCENTRADO!$D:$D,TOTAL!$R$2,CONCENTRADO!$E:$E,TOTAL!$R$3)</f>
        <v>0</v>
      </c>
      <c r="D7" s="3">
        <f>SUMIFS(CONCENTRADO!$B:$B,CONCENTRADO!$A:$A,TOTAL!$B7,CONCENTRADO!$C:$C,TOTAL!D$2,CONCENTRADO!$F:$F,TOTAL!$B$1,CONCENTRADO!$D:$D,TOTAL!$R$2,CONCENTRADO!$E:$E,TOTAL!$R$3)</f>
        <v>0</v>
      </c>
      <c r="E7" s="3">
        <f>SUMIFS(CONCENTRADO!$B:$B,CONCENTRADO!$A:$A,TOTAL!$B7,CONCENTRADO!$C:$C,TOTAL!E$2,CONCENTRADO!$F:$F,TOTAL!$B$1,CONCENTRADO!$D:$D,TOTAL!$R$2,CONCENTRADO!$E:$E,TOTAL!$R$3)</f>
        <v>0</v>
      </c>
      <c r="F7" s="3">
        <f>SUMIFS(CONCENTRADO!$B:$B,CONCENTRADO!$A:$A,TOTAL!$B7,CONCENTRADO!$C:$C,TOTAL!F$2,CONCENTRADO!$F:$F,TOTAL!$B$1,CONCENTRADO!$D:$D,TOTAL!$R$2,CONCENTRADO!$E:$E,TOTAL!$R$3)</f>
        <v>0</v>
      </c>
      <c r="G7" s="3">
        <f>SUMIFS(CONCENTRADO!$B:$B,CONCENTRADO!$A:$A,TOTAL!$B7,CONCENTRADO!$C:$C,TOTAL!G$2,CONCENTRADO!$F:$F,TOTAL!$B$1,CONCENTRADO!$D:$D,TOTAL!$R$2,CONCENTRADO!$E:$E,TOTAL!$R$3)</f>
        <v>0</v>
      </c>
      <c r="H7" s="3">
        <f>SUMIFS(CONCENTRADO!$B:$B,CONCENTRADO!$A:$A,TOTAL!$B7,CONCENTRADO!$C:$C,TOTAL!H$2,CONCENTRADO!$F:$F,TOTAL!$B$1,CONCENTRADO!$D:$D,TOTAL!$R$2,CONCENTRADO!$E:$E,TOTAL!$R$3)</f>
        <v>0</v>
      </c>
      <c r="I7" s="3">
        <f>SUMIFS(CONCENTRADO!$B:$B,CONCENTRADO!$A:$A,TOTAL!$B7,CONCENTRADO!$C:$C,TOTAL!I$2,CONCENTRADO!$F:$F,TOTAL!$B$1,CONCENTRADO!$D:$D,TOTAL!$R$2,CONCENTRADO!$E:$E,TOTAL!$R$3)</f>
        <v>0</v>
      </c>
      <c r="J7" s="3">
        <f>SUMIFS(CONCENTRADO!$B:$B,CONCENTRADO!$A:$A,TOTAL!$B7,CONCENTRADO!$C:$C,TOTAL!J$2,CONCENTRADO!$F:$F,TOTAL!$B$1,CONCENTRADO!$D:$D,TOTAL!$R$2,CONCENTRADO!$E:$E,TOTAL!$R$3)</f>
        <v>0</v>
      </c>
      <c r="K7" s="3">
        <f>SUMIFS(CONCENTRADO!$B:$B,CONCENTRADO!$A:$A,TOTAL!$B7,CONCENTRADO!$C:$C,TOTAL!K$2,CONCENTRADO!$F:$F,TOTAL!$B$1,CONCENTRADO!$D:$D,TOTAL!$R$2,CONCENTRADO!$E:$E,TOTAL!$R$3)</f>
        <v>0</v>
      </c>
      <c r="L7" s="3">
        <f>SUMIFS(CONCENTRADO!$B:$B,CONCENTRADO!$A:$A,TOTAL!$B7,CONCENTRADO!$C:$C,TOTAL!L$2,CONCENTRADO!$F:$F,TOTAL!$B$1,CONCENTRADO!$D:$D,TOTAL!$R$2,CONCENTRADO!$E:$E,TOTAL!$R$3)</f>
        <v>0</v>
      </c>
      <c r="M7" s="3">
        <f>SUMIFS(CONCENTRADO!$B:$B,CONCENTRADO!$A:$A,TOTAL!$B7,CONCENTRADO!$C:$C,TOTAL!M$2,CONCENTRADO!$F:$F,TOTAL!$B$1,CONCENTRADO!$D:$D,TOTAL!$R$2,CONCENTRADO!$E:$E,TOTAL!$R$3)</f>
        <v>0</v>
      </c>
      <c r="N7" s="3">
        <f>SUMIFS(CONCENTRADO!$B:$B,CONCENTRADO!$A:$A,TOTAL!$B7,CONCENTRADO!$C:$C,TOTAL!N$2,CONCENTRADO!$F:$F,TOTAL!$B$1,CONCENTRADO!$D:$D,TOTAL!$R$2,CONCENTRADO!$E:$E,TOTAL!$R$3)</f>
        <v>0</v>
      </c>
      <c r="O7" s="3">
        <f>SUMIFS(CONCENTRADO!$B:$B,CONCENTRADO!$A:$A,TOTAL!$B7,CONCENTRADO!$C:$C,TOTAL!O$2,CONCENTRADO!$F:$F,TOTAL!$B$1,CONCENTRADO!$D:$D,TOTAL!$R$2,CONCENTRADO!$E:$E,TOTAL!$R$3)</f>
        <v>0</v>
      </c>
      <c r="Q7" s="26">
        <v>4</v>
      </c>
      <c r="R7" s="26">
        <v>4</v>
      </c>
    </row>
    <row r="8" spans="2:18" ht="15.75" thickBot="1" x14ac:dyDescent="0.3">
      <c r="B8" s="1" t="s">
        <v>9</v>
      </c>
      <c r="C8" s="3">
        <f>SUMIFS(CONCENTRADO!$B:$B,CONCENTRADO!$A:$A,TOTAL!$B8,CONCENTRADO!$C:$C,TOTAL!C$2,CONCENTRADO!$F:$F,TOTAL!$B$1,CONCENTRADO!$D:$D,TOTAL!$R$2,CONCENTRADO!$E:$E,TOTAL!$R$3)</f>
        <v>0</v>
      </c>
      <c r="D8" s="3">
        <f>SUMIFS(CONCENTRADO!$B:$B,CONCENTRADO!$A:$A,TOTAL!$B8,CONCENTRADO!$C:$C,TOTAL!D$2,CONCENTRADO!$F:$F,TOTAL!$B$1,CONCENTRADO!$D:$D,TOTAL!$R$2,CONCENTRADO!$E:$E,TOTAL!$R$3)</f>
        <v>0</v>
      </c>
      <c r="E8" s="3">
        <f>SUMIFS(CONCENTRADO!$B:$B,CONCENTRADO!$A:$A,TOTAL!$B8,CONCENTRADO!$C:$C,TOTAL!E$2,CONCENTRADO!$F:$F,TOTAL!$B$1,CONCENTRADO!$D:$D,TOTAL!$R$2,CONCENTRADO!$E:$E,TOTAL!$R$3)</f>
        <v>0</v>
      </c>
      <c r="F8" s="3">
        <f>SUMIFS(CONCENTRADO!$B:$B,CONCENTRADO!$A:$A,TOTAL!$B8,CONCENTRADO!$C:$C,TOTAL!F$2,CONCENTRADO!$F:$F,TOTAL!$B$1,CONCENTRADO!$D:$D,TOTAL!$R$2,CONCENTRADO!$E:$E,TOTAL!$R$3)</f>
        <v>0</v>
      </c>
      <c r="G8" s="3">
        <f>SUMIFS(CONCENTRADO!$B:$B,CONCENTRADO!$A:$A,TOTAL!$B8,CONCENTRADO!$C:$C,TOTAL!G$2,CONCENTRADO!$F:$F,TOTAL!$B$1,CONCENTRADO!$D:$D,TOTAL!$R$2,CONCENTRADO!$E:$E,TOTAL!$R$3)</f>
        <v>0</v>
      </c>
      <c r="H8" s="3">
        <f>SUMIFS(CONCENTRADO!$B:$B,CONCENTRADO!$A:$A,TOTAL!$B8,CONCENTRADO!$C:$C,TOTAL!H$2,CONCENTRADO!$F:$F,TOTAL!$B$1,CONCENTRADO!$D:$D,TOTAL!$R$2,CONCENTRADO!$E:$E,TOTAL!$R$3)</f>
        <v>0</v>
      </c>
      <c r="I8" s="3">
        <f>SUMIFS(CONCENTRADO!$B:$B,CONCENTRADO!$A:$A,TOTAL!$B8,CONCENTRADO!$C:$C,TOTAL!I$2,CONCENTRADO!$F:$F,TOTAL!$B$1,CONCENTRADO!$D:$D,TOTAL!$R$2,CONCENTRADO!$E:$E,TOTAL!$R$3)</f>
        <v>0</v>
      </c>
      <c r="J8" s="3">
        <f>SUMIFS(CONCENTRADO!$B:$B,CONCENTRADO!$A:$A,TOTAL!$B8,CONCENTRADO!$C:$C,TOTAL!J$2,CONCENTRADO!$F:$F,TOTAL!$B$1,CONCENTRADO!$D:$D,TOTAL!$R$2,CONCENTRADO!$E:$E,TOTAL!$R$3)</f>
        <v>0</v>
      </c>
      <c r="K8" s="3">
        <f>SUMIFS(CONCENTRADO!$B:$B,CONCENTRADO!$A:$A,TOTAL!$B8,CONCENTRADO!$C:$C,TOTAL!K$2,CONCENTRADO!$F:$F,TOTAL!$B$1,CONCENTRADO!$D:$D,TOTAL!$R$2,CONCENTRADO!$E:$E,TOTAL!$R$3)</f>
        <v>0</v>
      </c>
      <c r="L8" s="3">
        <f>SUMIFS(CONCENTRADO!$B:$B,CONCENTRADO!$A:$A,TOTAL!$B8,CONCENTRADO!$C:$C,TOTAL!L$2,CONCENTRADO!$F:$F,TOTAL!$B$1,CONCENTRADO!$D:$D,TOTAL!$R$2,CONCENTRADO!$E:$E,TOTAL!$R$3)</f>
        <v>0</v>
      </c>
      <c r="M8" s="3">
        <f>SUMIFS(CONCENTRADO!$B:$B,CONCENTRADO!$A:$A,TOTAL!$B8,CONCENTRADO!$C:$C,TOTAL!M$2,CONCENTRADO!$F:$F,TOTAL!$B$1,CONCENTRADO!$D:$D,TOTAL!$R$2,CONCENTRADO!$E:$E,TOTAL!$R$3)</f>
        <v>0</v>
      </c>
      <c r="N8" s="3">
        <f>SUMIFS(CONCENTRADO!$B:$B,CONCENTRADO!$A:$A,TOTAL!$B8,CONCENTRADO!$C:$C,TOTAL!N$2,CONCENTRADO!$F:$F,TOTAL!$B$1,CONCENTRADO!$D:$D,TOTAL!$R$2,CONCENTRADO!$E:$E,TOTAL!$R$3)</f>
        <v>0</v>
      </c>
      <c r="O8" s="3">
        <f>SUMIFS(CONCENTRADO!$B:$B,CONCENTRADO!$A:$A,TOTAL!$B8,CONCENTRADO!$C:$C,TOTAL!O$2,CONCENTRADO!$F:$F,TOTAL!$B$1,CONCENTRADO!$D:$D,TOTAL!$R$2,CONCENTRADO!$E:$E,TOTAL!$R$3)</f>
        <v>0</v>
      </c>
      <c r="Q8" s="26">
        <v>5</v>
      </c>
      <c r="R8" s="26">
        <v>5</v>
      </c>
    </row>
    <row r="9" spans="2:18" ht="15.75" thickTop="1" x14ac:dyDescent="0.25">
      <c r="Q9" s="26">
        <v>6</v>
      </c>
      <c r="R9" s="26">
        <v>6</v>
      </c>
    </row>
    <row r="10" spans="2:18" x14ac:dyDescent="0.25">
      <c r="Q10" s="26">
        <v>7</v>
      </c>
      <c r="R10" s="26">
        <v>7</v>
      </c>
    </row>
    <row r="11" spans="2:18" x14ac:dyDescent="0.25">
      <c r="Q11" s="26">
        <v>8</v>
      </c>
      <c r="R11" s="26">
        <v>8</v>
      </c>
    </row>
    <row r="12" spans="2:18" x14ac:dyDescent="0.25">
      <c r="B12" s="30" t="s">
        <v>4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Q12" s="26">
        <v>9</v>
      </c>
      <c r="R12" s="26">
        <v>9</v>
      </c>
    </row>
    <row r="13" spans="2:18" ht="15.75" thickBot="1" x14ac:dyDescent="0.3">
      <c r="B13" s="5"/>
      <c r="C13" s="6" t="str">
        <f>TEXT(8,"00")</f>
        <v>08</v>
      </c>
      <c r="D13" s="6" t="str">
        <f>TEXT(9,"00")</f>
        <v>09</v>
      </c>
      <c r="E13" s="5">
        <v>10</v>
      </c>
      <c r="F13" s="5">
        <v>11</v>
      </c>
      <c r="G13" s="5">
        <v>12</v>
      </c>
      <c r="H13" s="5">
        <v>13</v>
      </c>
      <c r="I13" s="5">
        <v>14</v>
      </c>
      <c r="J13" s="5">
        <v>15</v>
      </c>
      <c r="K13" s="5">
        <v>16</v>
      </c>
      <c r="L13" s="5">
        <v>17</v>
      </c>
      <c r="M13" s="5">
        <v>18</v>
      </c>
      <c r="N13" s="5">
        <v>19</v>
      </c>
      <c r="O13" s="5">
        <v>20</v>
      </c>
      <c r="Q13" s="26">
        <v>10</v>
      </c>
      <c r="R13" s="26">
        <v>10</v>
      </c>
    </row>
    <row r="14" spans="2:18" ht="15.75" thickTop="1" x14ac:dyDescent="0.25">
      <c r="B14" s="2" t="s">
        <v>0</v>
      </c>
      <c r="C14" s="3">
        <f>SUMIFS(CONCENTRADO!$B:$B,CONCENTRADO!$A:$A,TOTAL!$B14,CONCENTRADO!$C:$C,TOTAL!C$2,CONCENTRADO!$F:$F,TOTAL!$B$12,CONCENTRADO!$D:$D,TOTAL!$R$2,CONCENTRADO!$E:$E,TOTAL!$R$3)</f>
        <v>0</v>
      </c>
      <c r="D14" s="3">
        <f>SUMIFS(CONCENTRADO!$B:$B,CONCENTRADO!$A:$A,TOTAL!$B14,CONCENTRADO!$C:$C,TOTAL!D$2,CONCENTRADO!$F:$F,TOTAL!$B$12,CONCENTRADO!$D:$D,TOTAL!$R$2,CONCENTRADO!$E:$E,TOTAL!$R$3)</f>
        <v>0</v>
      </c>
      <c r="E14" s="3">
        <f>SUMIFS(CONCENTRADO!$B:$B,CONCENTRADO!$A:$A,TOTAL!$B14,CONCENTRADO!$C:$C,TOTAL!E$2,CONCENTRADO!$F:$F,TOTAL!$B$12,CONCENTRADO!$D:$D,TOTAL!$R$2,CONCENTRADO!$E:$E,TOTAL!$R$3)</f>
        <v>0</v>
      </c>
      <c r="F14" s="3">
        <f>SUMIFS(CONCENTRADO!$B:$B,CONCENTRADO!$A:$A,TOTAL!$B14,CONCENTRADO!$C:$C,TOTAL!F$2,CONCENTRADO!$F:$F,TOTAL!$B$12,CONCENTRADO!$D:$D,TOTAL!$R$2,CONCENTRADO!$E:$E,TOTAL!$R$3)</f>
        <v>0</v>
      </c>
      <c r="G14" s="3">
        <f>SUMIFS(CONCENTRADO!$B:$B,CONCENTRADO!$A:$A,TOTAL!$B14,CONCENTRADO!$C:$C,TOTAL!G$2,CONCENTRADO!$F:$F,TOTAL!$B$12,CONCENTRADO!$D:$D,TOTAL!$R$2,CONCENTRADO!$E:$E,TOTAL!$R$3)</f>
        <v>0</v>
      </c>
      <c r="H14" s="3">
        <f>SUMIFS(CONCENTRADO!$B:$B,CONCENTRADO!$A:$A,TOTAL!$B14,CONCENTRADO!$C:$C,TOTAL!H$2,CONCENTRADO!$F:$F,TOTAL!$B$12,CONCENTRADO!$D:$D,TOTAL!$R$2,CONCENTRADO!$E:$E,TOTAL!$R$3)</f>
        <v>0</v>
      </c>
      <c r="I14" s="3">
        <f>SUMIFS(CONCENTRADO!$B:$B,CONCENTRADO!$A:$A,TOTAL!$B14,CONCENTRADO!$C:$C,TOTAL!I$2,CONCENTRADO!$F:$F,TOTAL!$B$12,CONCENTRADO!$D:$D,TOTAL!$R$2,CONCENTRADO!$E:$E,TOTAL!$R$3)</f>
        <v>0</v>
      </c>
      <c r="J14" s="3">
        <f>SUMIFS(CONCENTRADO!$B:$B,CONCENTRADO!$A:$A,TOTAL!$B14,CONCENTRADO!$C:$C,TOTAL!J$2,CONCENTRADO!$F:$F,TOTAL!$B$12,CONCENTRADO!$D:$D,TOTAL!$R$2,CONCENTRADO!$E:$E,TOTAL!$R$3)</f>
        <v>0</v>
      </c>
      <c r="K14" s="3">
        <f>SUMIFS(CONCENTRADO!$B:$B,CONCENTRADO!$A:$A,TOTAL!$B14,CONCENTRADO!$C:$C,TOTAL!K$2,CONCENTRADO!$F:$F,TOTAL!$B$12,CONCENTRADO!$D:$D,TOTAL!$R$2,CONCENTRADO!$E:$E,TOTAL!$R$3)</f>
        <v>0</v>
      </c>
      <c r="L14" s="3">
        <f>SUMIFS(CONCENTRADO!$B:$B,CONCENTRADO!$A:$A,TOTAL!$B14,CONCENTRADO!$C:$C,TOTAL!L$2,CONCENTRADO!$F:$F,TOTAL!$B$12,CONCENTRADO!$D:$D,TOTAL!$R$2,CONCENTRADO!$E:$E,TOTAL!$R$3)</f>
        <v>0</v>
      </c>
      <c r="M14" s="3">
        <f>SUMIFS(CONCENTRADO!$B:$B,CONCENTRADO!$A:$A,TOTAL!$B14,CONCENTRADO!$C:$C,TOTAL!M$2,CONCENTRADO!$F:$F,TOTAL!$B$12,CONCENTRADO!$D:$D,TOTAL!$R$2,CONCENTRADO!$E:$E,TOTAL!$R$3)</f>
        <v>0</v>
      </c>
      <c r="N14" s="3">
        <f>SUMIFS(CONCENTRADO!$B:$B,CONCENTRADO!$A:$A,TOTAL!$B14,CONCENTRADO!$C:$C,TOTAL!N$2,CONCENTRADO!$F:$F,TOTAL!$B$12,CONCENTRADO!$D:$D,TOTAL!$R$2,CONCENTRADO!$E:$E,TOTAL!$R$3)</f>
        <v>0</v>
      </c>
      <c r="O14" s="3">
        <f>SUMIFS(CONCENTRADO!$B:$B,CONCENTRADO!$A:$A,TOTAL!$B14,CONCENTRADO!$C:$C,TOTAL!O$2,CONCENTRADO!$F:$F,TOTAL!$B$12,CONCENTRADO!$D:$D,TOTAL!$R$2,CONCENTRADO!$E:$E,TOTAL!$R$3)</f>
        <v>0</v>
      </c>
      <c r="Q14" s="26">
        <v>11</v>
      </c>
      <c r="R14" s="26">
        <v>11</v>
      </c>
    </row>
    <row r="15" spans="2:18" x14ac:dyDescent="0.25">
      <c r="B15" s="3" t="s">
        <v>1</v>
      </c>
      <c r="C15" s="3">
        <f>SUMIFS(CONCENTRADO!$B:$B,CONCENTRADO!$A:$A,TOTAL!$B15,CONCENTRADO!$C:$C,TOTAL!C$2,CONCENTRADO!$F:$F,TOTAL!$B$12,CONCENTRADO!$D:$D,TOTAL!$R$2,CONCENTRADO!$E:$E,TOTAL!$R$3)</f>
        <v>0</v>
      </c>
      <c r="D15" s="3">
        <f>SUMIFS(CONCENTRADO!$B:$B,CONCENTRADO!$A:$A,TOTAL!$B15,CONCENTRADO!$C:$C,TOTAL!D$2,CONCENTRADO!$F:$F,TOTAL!$B$12,CONCENTRADO!$D:$D,TOTAL!$R$2,CONCENTRADO!$E:$E,TOTAL!$R$3)</f>
        <v>0</v>
      </c>
      <c r="E15" s="3">
        <f>SUMIFS(CONCENTRADO!$B:$B,CONCENTRADO!$A:$A,TOTAL!$B15,CONCENTRADO!$C:$C,TOTAL!E$2,CONCENTRADO!$F:$F,TOTAL!$B$12,CONCENTRADO!$D:$D,TOTAL!$R$2,CONCENTRADO!$E:$E,TOTAL!$R$3)</f>
        <v>0</v>
      </c>
      <c r="F15" s="3">
        <f>SUMIFS(CONCENTRADO!$B:$B,CONCENTRADO!$A:$A,TOTAL!$B15,CONCENTRADO!$C:$C,TOTAL!F$2,CONCENTRADO!$F:$F,TOTAL!$B$12,CONCENTRADO!$D:$D,TOTAL!$R$2,CONCENTRADO!$E:$E,TOTAL!$R$3)</f>
        <v>0</v>
      </c>
      <c r="G15" s="3">
        <f>SUMIFS(CONCENTRADO!$B:$B,CONCENTRADO!$A:$A,TOTAL!$B15,CONCENTRADO!$C:$C,TOTAL!G$2,CONCENTRADO!$F:$F,TOTAL!$B$12,CONCENTRADO!$D:$D,TOTAL!$R$2,CONCENTRADO!$E:$E,TOTAL!$R$3)</f>
        <v>0</v>
      </c>
      <c r="H15" s="3">
        <f>SUMIFS(CONCENTRADO!$B:$B,CONCENTRADO!$A:$A,TOTAL!$B15,CONCENTRADO!$C:$C,TOTAL!H$2,CONCENTRADO!$F:$F,TOTAL!$B$12,CONCENTRADO!$D:$D,TOTAL!$R$2,CONCENTRADO!$E:$E,TOTAL!$R$3)</f>
        <v>0</v>
      </c>
      <c r="I15" s="3">
        <f>SUMIFS(CONCENTRADO!$B:$B,CONCENTRADO!$A:$A,TOTAL!$B15,CONCENTRADO!$C:$C,TOTAL!I$2,CONCENTRADO!$F:$F,TOTAL!$B$12,CONCENTRADO!$D:$D,TOTAL!$R$2,CONCENTRADO!$E:$E,TOTAL!$R$3)</f>
        <v>0</v>
      </c>
      <c r="J15" s="3">
        <f>SUMIFS(CONCENTRADO!$B:$B,CONCENTRADO!$A:$A,TOTAL!$B15,CONCENTRADO!$C:$C,TOTAL!J$2,CONCENTRADO!$F:$F,TOTAL!$B$12,CONCENTRADO!$D:$D,TOTAL!$R$2,CONCENTRADO!$E:$E,TOTAL!$R$3)</f>
        <v>0</v>
      </c>
      <c r="K15" s="3">
        <f>SUMIFS(CONCENTRADO!$B:$B,CONCENTRADO!$A:$A,TOTAL!$B15,CONCENTRADO!$C:$C,TOTAL!K$2,CONCENTRADO!$F:$F,TOTAL!$B$12,CONCENTRADO!$D:$D,TOTAL!$R$2,CONCENTRADO!$E:$E,TOTAL!$R$3)</f>
        <v>0</v>
      </c>
      <c r="L15" s="3">
        <f>SUMIFS(CONCENTRADO!$B:$B,CONCENTRADO!$A:$A,TOTAL!$B15,CONCENTRADO!$C:$C,TOTAL!L$2,CONCENTRADO!$F:$F,TOTAL!$B$12,CONCENTRADO!$D:$D,TOTAL!$R$2,CONCENTRADO!$E:$E,TOTAL!$R$3)</f>
        <v>0</v>
      </c>
      <c r="M15" s="3">
        <f>SUMIFS(CONCENTRADO!$B:$B,CONCENTRADO!$A:$A,TOTAL!$B15,CONCENTRADO!$C:$C,TOTAL!M$2,CONCENTRADO!$F:$F,TOTAL!$B$12,CONCENTRADO!$D:$D,TOTAL!$R$2,CONCENTRADO!$E:$E,TOTAL!$R$3)</f>
        <v>0</v>
      </c>
      <c r="N15" s="3">
        <f>SUMIFS(CONCENTRADO!$B:$B,CONCENTRADO!$A:$A,TOTAL!$B15,CONCENTRADO!$C:$C,TOTAL!N$2,CONCENTRADO!$F:$F,TOTAL!$B$12,CONCENTRADO!$D:$D,TOTAL!$R$2,CONCENTRADO!$E:$E,TOTAL!$R$3)</f>
        <v>0</v>
      </c>
      <c r="O15" s="3">
        <f>SUMIFS(CONCENTRADO!$B:$B,CONCENTRADO!$A:$A,TOTAL!$B15,CONCENTRADO!$C:$C,TOTAL!O$2,CONCENTRADO!$F:$F,TOTAL!$B$12,CONCENTRADO!$D:$D,TOTAL!$R$2,CONCENTRADO!$E:$E,TOTAL!$R$3)</f>
        <v>0</v>
      </c>
      <c r="Q15" s="26">
        <v>12</v>
      </c>
      <c r="R15" s="26">
        <v>12</v>
      </c>
    </row>
    <row r="16" spans="2:18" x14ac:dyDescent="0.25">
      <c r="B16" s="3" t="s">
        <v>2</v>
      </c>
      <c r="C16" s="3">
        <f>SUMIFS(CONCENTRADO!$B:$B,CONCENTRADO!$A:$A,TOTAL!$B16,CONCENTRADO!$C:$C,TOTAL!C$2,CONCENTRADO!$F:$F,TOTAL!$B$12,CONCENTRADO!$D:$D,TOTAL!$R$2,CONCENTRADO!$E:$E,TOTAL!$R$3)</f>
        <v>0</v>
      </c>
      <c r="D16" s="3">
        <f>SUMIFS(CONCENTRADO!$B:$B,CONCENTRADO!$A:$A,TOTAL!$B16,CONCENTRADO!$C:$C,TOTAL!D$2,CONCENTRADO!$F:$F,TOTAL!$B$12,CONCENTRADO!$D:$D,TOTAL!$R$2,CONCENTRADO!$E:$E,TOTAL!$R$3)</f>
        <v>0</v>
      </c>
      <c r="E16" s="3">
        <f>SUMIFS(CONCENTRADO!$B:$B,CONCENTRADO!$A:$A,TOTAL!$B16,CONCENTRADO!$C:$C,TOTAL!E$2,CONCENTRADO!$F:$F,TOTAL!$B$12,CONCENTRADO!$D:$D,TOTAL!$R$2,CONCENTRADO!$E:$E,TOTAL!$R$3)</f>
        <v>0</v>
      </c>
      <c r="F16" s="3">
        <f>SUMIFS(CONCENTRADO!$B:$B,CONCENTRADO!$A:$A,TOTAL!$B16,CONCENTRADO!$C:$C,TOTAL!F$2,CONCENTRADO!$F:$F,TOTAL!$B$12,CONCENTRADO!$D:$D,TOTAL!$R$2,CONCENTRADO!$E:$E,TOTAL!$R$3)</f>
        <v>0</v>
      </c>
      <c r="G16" s="3">
        <f>SUMIFS(CONCENTRADO!$B:$B,CONCENTRADO!$A:$A,TOTAL!$B16,CONCENTRADO!$C:$C,TOTAL!G$2,CONCENTRADO!$F:$F,TOTAL!$B$12,CONCENTRADO!$D:$D,TOTAL!$R$2,CONCENTRADO!$E:$E,TOTAL!$R$3)</f>
        <v>0</v>
      </c>
      <c r="H16" s="3">
        <f>SUMIFS(CONCENTRADO!$B:$B,CONCENTRADO!$A:$A,TOTAL!$B16,CONCENTRADO!$C:$C,TOTAL!H$2,CONCENTRADO!$F:$F,TOTAL!$B$12,CONCENTRADO!$D:$D,TOTAL!$R$2,CONCENTRADO!$E:$E,TOTAL!$R$3)</f>
        <v>0</v>
      </c>
      <c r="I16" s="3">
        <f>SUMIFS(CONCENTRADO!$B:$B,CONCENTRADO!$A:$A,TOTAL!$B16,CONCENTRADO!$C:$C,TOTAL!I$2,CONCENTRADO!$F:$F,TOTAL!$B$12,CONCENTRADO!$D:$D,TOTAL!$R$2,CONCENTRADO!$E:$E,TOTAL!$R$3)</f>
        <v>27332</v>
      </c>
      <c r="J16" s="3">
        <f>SUMIFS(CONCENTRADO!$B:$B,CONCENTRADO!$A:$A,TOTAL!$B16,CONCENTRADO!$C:$C,TOTAL!J$2,CONCENTRADO!$F:$F,TOTAL!$B$12,CONCENTRADO!$D:$D,TOTAL!$R$2,CONCENTRADO!$E:$E,TOTAL!$R$3)</f>
        <v>0</v>
      </c>
      <c r="K16" s="3">
        <f>SUMIFS(CONCENTRADO!$B:$B,CONCENTRADO!$A:$A,TOTAL!$B16,CONCENTRADO!$C:$C,TOTAL!K$2,CONCENTRADO!$F:$F,TOTAL!$B$12,CONCENTRADO!$D:$D,TOTAL!$R$2,CONCENTRADO!$E:$E,TOTAL!$R$3)</f>
        <v>0</v>
      </c>
      <c r="L16" s="3">
        <f>SUMIFS(CONCENTRADO!$B:$B,CONCENTRADO!$A:$A,TOTAL!$B16,CONCENTRADO!$C:$C,TOTAL!L$2,CONCENTRADO!$F:$F,TOTAL!$B$12,CONCENTRADO!$D:$D,TOTAL!$R$2,CONCENTRADO!$E:$E,TOTAL!$R$3)</f>
        <v>0</v>
      </c>
      <c r="M16" s="3">
        <f>SUMIFS(CONCENTRADO!$B:$B,CONCENTRADO!$A:$A,TOTAL!$B16,CONCENTRADO!$C:$C,TOTAL!M$2,CONCENTRADO!$F:$F,TOTAL!$B$12,CONCENTRADO!$D:$D,TOTAL!$R$2,CONCENTRADO!$E:$E,TOTAL!$R$3)</f>
        <v>0</v>
      </c>
      <c r="N16" s="3">
        <f>SUMIFS(CONCENTRADO!$B:$B,CONCENTRADO!$A:$A,TOTAL!$B16,CONCENTRADO!$C:$C,TOTAL!N$2,CONCENTRADO!$F:$F,TOTAL!$B$12,CONCENTRADO!$D:$D,TOTAL!$R$2,CONCENTRADO!$E:$E,TOTAL!$R$3)</f>
        <v>0</v>
      </c>
      <c r="O16" s="3">
        <f>SUMIFS(CONCENTRADO!$B:$B,CONCENTRADO!$A:$A,TOTAL!$B16,CONCENTRADO!$C:$C,TOTAL!O$2,CONCENTRADO!$F:$F,TOTAL!$B$12,CONCENTRADO!$D:$D,TOTAL!$R$2,CONCENTRADO!$E:$E,TOTAL!$R$3)</f>
        <v>0</v>
      </c>
      <c r="Q16" s="26">
        <v>13</v>
      </c>
      <c r="R16" s="26"/>
    </row>
    <row r="17" spans="2:18" x14ac:dyDescent="0.25">
      <c r="B17" s="3" t="s">
        <v>7</v>
      </c>
      <c r="C17" s="3">
        <f>SUMIFS(CONCENTRADO!$B:$B,CONCENTRADO!$A:$A,TOTAL!$B17,CONCENTRADO!$C:$C,TOTAL!C$2,CONCENTRADO!$F:$F,TOTAL!$B$12,CONCENTRADO!$D:$D,TOTAL!$R$2,CONCENTRADO!$E:$E,TOTAL!$R$3)</f>
        <v>0</v>
      </c>
      <c r="D17" s="3">
        <f>SUMIFS(CONCENTRADO!$B:$B,CONCENTRADO!$A:$A,TOTAL!$B17,CONCENTRADO!$C:$C,TOTAL!D$2,CONCENTRADO!$F:$F,TOTAL!$B$12,CONCENTRADO!$D:$D,TOTAL!$R$2,CONCENTRADO!$E:$E,TOTAL!$R$3)</f>
        <v>0</v>
      </c>
      <c r="E17" s="3">
        <f>SUMIFS(CONCENTRADO!$B:$B,CONCENTRADO!$A:$A,TOTAL!$B17,CONCENTRADO!$C:$C,TOTAL!E$2,CONCENTRADO!$F:$F,TOTAL!$B$12,CONCENTRADO!$D:$D,TOTAL!$R$2,CONCENTRADO!$E:$E,TOTAL!$R$3)</f>
        <v>0</v>
      </c>
      <c r="F17" s="3">
        <f>SUMIFS(CONCENTRADO!$B:$B,CONCENTRADO!$A:$A,TOTAL!$B17,CONCENTRADO!$C:$C,TOTAL!F$2,CONCENTRADO!$F:$F,TOTAL!$B$12,CONCENTRADO!$D:$D,TOTAL!$R$2,CONCENTRADO!$E:$E,TOTAL!$R$3)</f>
        <v>0</v>
      </c>
      <c r="G17" s="3">
        <f>SUMIFS(CONCENTRADO!$B:$B,CONCENTRADO!$A:$A,TOTAL!$B17,CONCENTRADO!$C:$C,TOTAL!G$2,CONCENTRADO!$F:$F,TOTAL!$B$12,CONCENTRADO!$D:$D,TOTAL!$R$2,CONCENTRADO!$E:$E,TOTAL!$R$3)</f>
        <v>0</v>
      </c>
      <c r="H17" s="3">
        <f>SUMIFS(CONCENTRADO!$B:$B,CONCENTRADO!$A:$A,TOTAL!$B17,CONCENTRADO!$C:$C,TOTAL!H$2,CONCENTRADO!$F:$F,TOTAL!$B$12,CONCENTRADO!$D:$D,TOTAL!$R$2,CONCENTRADO!$E:$E,TOTAL!$R$3)</f>
        <v>0</v>
      </c>
      <c r="I17" s="3">
        <f>SUMIFS(CONCENTRADO!$B:$B,CONCENTRADO!$A:$A,TOTAL!$B17,CONCENTRADO!$C:$C,TOTAL!I$2,CONCENTRADO!$F:$F,TOTAL!$B$12,CONCENTRADO!$D:$D,TOTAL!$R$2,CONCENTRADO!$E:$E,TOTAL!$R$3)</f>
        <v>0</v>
      </c>
      <c r="J17" s="3">
        <f>SUMIFS(CONCENTRADO!$B:$B,CONCENTRADO!$A:$A,TOTAL!$B17,CONCENTRADO!$C:$C,TOTAL!J$2,CONCENTRADO!$F:$F,TOTAL!$B$12,CONCENTRADO!$D:$D,TOTAL!$R$2,CONCENTRADO!$E:$E,TOTAL!$R$3)</f>
        <v>0</v>
      </c>
      <c r="K17" s="3">
        <f>SUMIFS(CONCENTRADO!$B:$B,CONCENTRADO!$A:$A,TOTAL!$B17,CONCENTRADO!$C:$C,TOTAL!K$2,CONCENTRADO!$F:$F,TOTAL!$B$12,CONCENTRADO!$D:$D,TOTAL!$R$2,CONCENTRADO!$E:$E,TOTAL!$R$3)</f>
        <v>0</v>
      </c>
      <c r="L17" s="3">
        <f>SUMIFS(CONCENTRADO!$B:$B,CONCENTRADO!$A:$A,TOTAL!$B17,CONCENTRADO!$C:$C,TOTAL!L$2,CONCENTRADO!$F:$F,TOTAL!$B$12,CONCENTRADO!$D:$D,TOTAL!$R$2,CONCENTRADO!$E:$E,TOTAL!$R$3)</f>
        <v>0</v>
      </c>
      <c r="M17" s="3">
        <f>SUMIFS(CONCENTRADO!$B:$B,CONCENTRADO!$A:$A,TOTAL!$B17,CONCENTRADO!$C:$C,TOTAL!M$2,CONCENTRADO!$F:$F,TOTAL!$B$12,CONCENTRADO!$D:$D,TOTAL!$R$2,CONCENTRADO!$E:$E,TOTAL!$R$3)</f>
        <v>0</v>
      </c>
      <c r="N17" s="3">
        <f>SUMIFS(CONCENTRADO!$B:$B,CONCENTRADO!$A:$A,TOTAL!$B17,CONCENTRADO!$C:$C,TOTAL!N$2,CONCENTRADO!$F:$F,TOTAL!$B$12,CONCENTRADO!$D:$D,TOTAL!$R$2,CONCENTRADO!$E:$E,TOTAL!$R$3)</f>
        <v>0</v>
      </c>
      <c r="O17" s="3">
        <f>SUMIFS(CONCENTRADO!$B:$B,CONCENTRADO!$A:$A,TOTAL!$B17,CONCENTRADO!$C:$C,TOTAL!O$2,CONCENTRADO!$F:$F,TOTAL!$B$12,CONCENTRADO!$D:$D,TOTAL!$R$2,CONCENTRADO!$E:$E,TOTAL!$R$3)</f>
        <v>0</v>
      </c>
      <c r="Q17" s="26">
        <v>14</v>
      </c>
      <c r="R17" s="26"/>
    </row>
    <row r="18" spans="2:18" x14ac:dyDescent="0.25">
      <c r="B18" s="3" t="s">
        <v>8</v>
      </c>
      <c r="C18" s="3">
        <f>SUMIFS(CONCENTRADO!$B:$B,CONCENTRADO!$A:$A,TOTAL!$B18,CONCENTRADO!$C:$C,TOTAL!C$2,CONCENTRADO!$F:$F,TOTAL!$B$12,CONCENTRADO!$D:$D,TOTAL!$R$2,CONCENTRADO!$E:$E,TOTAL!$R$3)</f>
        <v>0</v>
      </c>
      <c r="D18" s="3">
        <f>SUMIFS(CONCENTRADO!$B:$B,CONCENTRADO!$A:$A,TOTAL!$B18,CONCENTRADO!$C:$C,TOTAL!D$2,CONCENTRADO!$F:$F,TOTAL!$B$12,CONCENTRADO!$D:$D,TOTAL!$R$2,CONCENTRADO!$E:$E,TOTAL!$R$3)</f>
        <v>0</v>
      </c>
      <c r="E18" s="3">
        <f>SUMIFS(CONCENTRADO!$B:$B,CONCENTRADO!$A:$A,TOTAL!$B18,CONCENTRADO!$C:$C,TOTAL!E$2,CONCENTRADO!$F:$F,TOTAL!$B$12,CONCENTRADO!$D:$D,TOTAL!$R$2,CONCENTRADO!$E:$E,TOTAL!$R$3)</f>
        <v>0</v>
      </c>
      <c r="F18" s="3">
        <f>SUMIFS(CONCENTRADO!$B:$B,CONCENTRADO!$A:$A,TOTAL!$B18,CONCENTRADO!$C:$C,TOTAL!F$2,CONCENTRADO!$F:$F,TOTAL!$B$12,CONCENTRADO!$D:$D,TOTAL!$R$2,CONCENTRADO!$E:$E,TOTAL!$R$3)</f>
        <v>16717</v>
      </c>
      <c r="G18" s="3">
        <f>SUMIFS(CONCENTRADO!$B:$B,CONCENTRADO!$A:$A,TOTAL!$B18,CONCENTRADO!$C:$C,TOTAL!G$2,CONCENTRADO!$F:$F,TOTAL!$B$12,CONCENTRADO!$D:$D,TOTAL!$R$2,CONCENTRADO!$E:$E,TOTAL!$R$3)</f>
        <v>0</v>
      </c>
      <c r="H18" s="3">
        <f>SUMIFS(CONCENTRADO!$B:$B,CONCENTRADO!$A:$A,TOTAL!$B18,CONCENTRADO!$C:$C,TOTAL!H$2,CONCENTRADO!$F:$F,TOTAL!$B$12,CONCENTRADO!$D:$D,TOTAL!$R$2,CONCENTRADO!$E:$E,TOTAL!$R$3)</f>
        <v>0</v>
      </c>
      <c r="I18" s="3">
        <f>SUMIFS(CONCENTRADO!$B:$B,CONCENTRADO!$A:$A,TOTAL!$B18,CONCENTRADO!$C:$C,TOTAL!I$2,CONCENTRADO!$F:$F,TOTAL!$B$12,CONCENTRADO!$D:$D,TOTAL!$R$2,CONCENTRADO!$E:$E,TOTAL!$R$3)</f>
        <v>0</v>
      </c>
      <c r="J18" s="3">
        <f>SUMIFS(CONCENTRADO!$B:$B,CONCENTRADO!$A:$A,TOTAL!$B18,CONCENTRADO!$C:$C,TOTAL!J$2,CONCENTRADO!$F:$F,TOTAL!$B$12,CONCENTRADO!$D:$D,TOTAL!$R$2,CONCENTRADO!$E:$E,TOTAL!$R$3)</f>
        <v>0</v>
      </c>
      <c r="K18" s="3">
        <f>SUMIFS(CONCENTRADO!$B:$B,CONCENTRADO!$A:$A,TOTAL!$B18,CONCENTRADO!$C:$C,TOTAL!K$2,CONCENTRADO!$F:$F,TOTAL!$B$12,CONCENTRADO!$D:$D,TOTAL!$R$2,CONCENTRADO!$E:$E,TOTAL!$R$3)</f>
        <v>0</v>
      </c>
      <c r="L18" s="3">
        <f>SUMIFS(CONCENTRADO!$B:$B,CONCENTRADO!$A:$A,TOTAL!$B18,CONCENTRADO!$C:$C,TOTAL!L$2,CONCENTRADO!$F:$F,TOTAL!$B$12,CONCENTRADO!$D:$D,TOTAL!$R$2,CONCENTRADO!$E:$E,TOTAL!$R$3)</f>
        <v>0</v>
      </c>
      <c r="M18" s="3">
        <f>SUMIFS(CONCENTRADO!$B:$B,CONCENTRADO!$A:$A,TOTAL!$B18,CONCENTRADO!$C:$C,TOTAL!M$2,CONCENTRADO!$F:$F,TOTAL!$B$12,CONCENTRADO!$D:$D,TOTAL!$R$2,CONCENTRADO!$E:$E,TOTAL!$R$3)</f>
        <v>0</v>
      </c>
      <c r="N18" s="3">
        <f>SUMIFS(CONCENTRADO!$B:$B,CONCENTRADO!$A:$A,TOTAL!$B18,CONCENTRADO!$C:$C,TOTAL!N$2,CONCENTRADO!$F:$F,TOTAL!$B$12,CONCENTRADO!$D:$D,TOTAL!$R$2,CONCENTRADO!$E:$E,TOTAL!$R$3)</f>
        <v>0</v>
      </c>
      <c r="O18" s="3">
        <f>SUMIFS(CONCENTRADO!$B:$B,CONCENTRADO!$A:$A,TOTAL!$B18,CONCENTRADO!$C:$C,TOTAL!O$2,CONCENTRADO!$F:$F,TOTAL!$B$12,CONCENTRADO!$D:$D,TOTAL!$R$2,CONCENTRADO!$E:$E,TOTAL!$R$3)</f>
        <v>0</v>
      </c>
      <c r="Q18" s="26">
        <v>15</v>
      </c>
      <c r="R18" s="26"/>
    </row>
    <row r="19" spans="2:18" ht="15.75" thickBot="1" x14ac:dyDescent="0.3">
      <c r="B19" s="1" t="s">
        <v>9</v>
      </c>
      <c r="C19" s="3">
        <f>SUMIFS(CONCENTRADO!$B:$B,CONCENTRADO!$A:$A,TOTAL!$B19,CONCENTRADO!$C:$C,TOTAL!C$2,CONCENTRADO!$F:$F,TOTAL!$B$12,CONCENTRADO!$D:$D,TOTAL!$R$2,CONCENTRADO!$E:$E,TOTAL!$R$3)</f>
        <v>0</v>
      </c>
      <c r="D19" s="3">
        <f>SUMIFS(CONCENTRADO!$B:$B,CONCENTRADO!$A:$A,TOTAL!$B19,CONCENTRADO!$C:$C,TOTAL!D$2,CONCENTRADO!$F:$F,TOTAL!$B$12,CONCENTRADO!$D:$D,TOTAL!$R$2,CONCENTRADO!$E:$E,TOTAL!$R$3)</f>
        <v>0</v>
      </c>
      <c r="E19" s="3">
        <f>SUMIFS(CONCENTRADO!$B:$B,CONCENTRADO!$A:$A,TOTAL!$B19,CONCENTRADO!$C:$C,TOTAL!E$2,CONCENTRADO!$F:$F,TOTAL!$B$12,CONCENTRADO!$D:$D,TOTAL!$R$2,CONCENTRADO!$E:$E,TOTAL!$R$3)</f>
        <v>0</v>
      </c>
      <c r="F19" s="3">
        <f>SUMIFS(CONCENTRADO!$B:$B,CONCENTRADO!$A:$A,TOTAL!$B19,CONCENTRADO!$C:$C,TOTAL!F$2,CONCENTRADO!$F:$F,TOTAL!$B$12,CONCENTRADO!$D:$D,TOTAL!$R$2,CONCENTRADO!$E:$E,TOTAL!$R$3)</f>
        <v>0</v>
      </c>
      <c r="G19" s="3">
        <f>SUMIFS(CONCENTRADO!$B:$B,CONCENTRADO!$A:$A,TOTAL!$B19,CONCENTRADO!$C:$C,TOTAL!G$2,CONCENTRADO!$F:$F,TOTAL!$B$12,CONCENTRADO!$D:$D,TOTAL!$R$2,CONCENTRADO!$E:$E,TOTAL!$R$3)</f>
        <v>1240</v>
      </c>
      <c r="H19" s="3">
        <f>SUMIFS(CONCENTRADO!$B:$B,CONCENTRADO!$A:$A,TOTAL!$B19,CONCENTRADO!$C:$C,TOTAL!H$2,CONCENTRADO!$F:$F,TOTAL!$B$12,CONCENTRADO!$D:$D,TOTAL!$R$2,CONCENTRADO!$E:$E,TOTAL!$R$3)</f>
        <v>0</v>
      </c>
      <c r="I19" s="3">
        <f>SUMIFS(CONCENTRADO!$B:$B,CONCENTRADO!$A:$A,TOTAL!$B19,CONCENTRADO!$C:$C,TOTAL!I$2,CONCENTRADO!$F:$F,TOTAL!$B$12,CONCENTRADO!$D:$D,TOTAL!$R$2,CONCENTRADO!$E:$E,TOTAL!$R$3)</f>
        <v>617</v>
      </c>
      <c r="J19" s="3">
        <f>SUMIFS(CONCENTRADO!$B:$B,CONCENTRADO!$A:$A,TOTAL!$B19,CONCENTRADO!$C:$C,TOTAL!J$2,CONCENTRADO!$F:$F,TOTAL!$B$12,CONCENTRADO!$D:$D,TOTAL!$R$2,CONCENTRADO!$E:$E,TOTAL!$R$3)</f>
        <v>0</v>
      </c>
      <c r="K19" s="3">
        <f>SUMIFS(CONCENTRADO!$B:$B,CONCENTRADO!$A:$A,TOTAL!$B19,CONCENTRADO!$C:$C,TOTAL!K$2,CONCENTRADO!$F:$F,TOTAL!$B$12,CONCENTRADO!$D:$D,TOTAL!$R$2,CONCENTRADO!$E:$E,TOTAL!$R$3)</f>
        <v>0</v>
      </c>
      <c r="L19" s="3">
        <f>SUMIFS(CONCENTRADO!$B:$B,CONCENTRADO!$A:$A,TOTAL!$B19,CONCENTRADO!$C:$C,TOTAL!L$2,CONCENTRADO!$F:$F,TOTAL!$B$12,CONCENTRADO!$D:$D,TOTAL!$R$2,CONCENTRADO!$E:$E,TOTAL!$R$3)</f>
        <v>0</v>
      </c>
      <c r="M19" s="3">
        <f>SUMIFS(CONCENTRADO!$B:$B,CONCENTRADO!$A:$A,TOTAL!$B19,CONCENTRADO!$C:$C,TOTAL!M$2,CONCENTRADO!$F:$F,TOTAL!$B$12,CONCENTRADO!$D:$D,TOTAL!$R$2,CONCENTRADO!$E:$E,TOTAL!$R$3)</f>
        <v>0</v>
      </c>
      <c r="N19" s="3">
        <f>SUMIFS(CONCENTRADO!$B:$B,CONCENTRADO!$A:$A,TOTAL!$B19,CONCENTRADO!$C:$C,TOTAL!N$2,CONCENTRADO!$F:$F,TOTAL!$B$12,CONCENTRADO!$D:$D,TOTAL!$R$2,CONCENTRADO!$E:$E,TOTAL!$R$3)</f>
        <v>0</v>
      </c>
      <c r="O19" s="3">
        <f>SUMIFS(CONCENTRADO!$B:$B,CONCENTRADO!$A:$A,TOTAL!$B19,CONCENTRADO!$C:$C,TOTAL!O$2,CONCENTRADO!$F:$F,TOTAL!$B$12,CONCENTRADO!$D:$D,TOTAL!$R$2,CONCENTRADO!$E:$E,TOTAL!$R$3)</f>
        <v>0</v>
      </c>
      <c r="Q19" s="26">
        <v>16</v>
      </c>
      <c r="R19" s="26"/>
    </row>
    <row r="20" spans="2:18" ht="15.75" thickTop="1" x14ac:dyDescent="0.25">
      <c r="Q20" s="26">
        <v>17</v>
      </c>
      <c r="R20" s="26"/>
    </row>
    <row r="21" spans="2:18" x14ac:dyDescent="0.25">
      <c r="Q21" s="26">
        <v>18</v>
      </c>
      <c r="R21" s="26"/>
    </row>
    <row r="22" spans="2:18" x14ac:dyDescent="0.25">
      <c r="Q22" s="26">
        <v>19</v>
      </c>
      <c r="R22" s="26"/>
    </row>
    <row r="23" spans="2:18" x14ac:dyDescent="0.25">
      <c r="B23" s="30" t="s">
        <v>5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Q23" s="26">
        <v>20</v>
      </c>
      <c r="R23" s="26"/>
    </row>
    <row r="24" spans="2:18" ht="15.75" thickBot="1" x14ac:dyDescent="0.3">
      <c r="B24" s="5"/>
      <c r="C24" s="6" t="str">
        <f>TEXT(8,"00")</f>
        <v>08</v>
      </c>
      <c r="D24" s="6" t="str">
        <f>TEXT(9,"00")</f>
        <v>09</v>
      </c>
      <c r="E24" s="5">
        <v>10</v>
      </c>
      <c r="F24" s="5">
        <v>11</v>
      </c>
      <c r="G24" s="5">
        <v>12</v>
      </c>
      <c r="H24" s="5">
        <v>13</v>
      </c>
      <c r="I24" s="5">
        <v>14</v>
      </c>
      <c r="J24" s="5">
        <v>15</v>
      </c>
      <c r="K24" s="5">
        <v>16</v>
      </c>
      <c r="L24" s="5">
        <v>17</v>
      </c>
      <c r="M24" s="5">
        <v>18</v>
      </c>
      <c r="N24" s="5">
        <v>19</v>
      </c>
      <c r="O24" s="5">
        <v>20</v>
      </c>
      <c r="Q24" s="26">
        <v>21</v>
      </c>
      <c r="R24" s="26"/>
    </row>
    <row r="25" spans="2:18" ht="15.75" thickTop="1" x14ac:dyDescent="0.25">
      <c r="B25" s="2" t="s">
        <v>0</v>
      </c>
      <c r="C25" s="3">
        <f>SUMIFS(CONCENTRADO!$B:$B,CONCENTRADO!$A:$A,TOTAL!$B25,CONCENTRADO!$C:$C,TOTAL!C$2,CONCENTRADO!$F:$F,TOTAL!$B$23,CONCENTRADO!$D:$D,TOTAL!$R$2,CONCENTRADO!$E:$E,TOTAL!$R$3)</f>
        <v>0</v>
      </c>
      <c r="D25" s="3">
        <f>SUMIFS(CONCENTRADO!$B:$B,CONCENTRADO!$A:$A,TOTAL!$B25,CONCENTRADO!$C:$C,TOTAL!D$2,CONCENTRADO!$F:$F,TOTAL!$B$23,CONCENTRADO!$D:$D,TOTAL!$R$2,CONCENTRADO!$E:$E,TOTAL!$R$3)</f>
        <v>0</v>
      </c>
      <c r="E25" s="3">
        <f>SUMIFS(CONCENTRADO!$B:$B,CONCENTRADO!$A:$A,TOTAL!$B25,CONCENTRADO!$C:$C,TOTAL!E$2,CONCENTRADO!$F:$F,TOTAL!$B$23,CONCENTRADO!$D:$D,TOTAL!$R$2,CONCENTRADO!$E:$E,TOTAL!$R$3)</f>
        <v>0</v>
      </c>
      <c r="F25" s="3">
        <f>SUMIFS(CONCENTRADO!$B:$B,CONCENTRADO!$A:$A,TOTAL!$B25,CONCENTRADO!$C:$C,TOTAL!F$2,CONCENTRADO!$F:$F,TOTAL!$B$23,CONCENTRADO!$D:$D,TOTAL!$R$2,CONCENTRADO!$E:$E,TOTAL!$R$3)</f>
        <v>0</v>
      </c>
      <c r="G25" s="3">
        <f>SUMIFS(CONCENTRADO!$B:$B,CONCENTRADO!$A:$A,TOTAL!$B25,CONCENTRADO!$C:$C,TOTAL!G$2,CONCENTRADO!$F:$F,TOTAL!$B$23,CONCENTRADO!$D:$D,TOTAL!$R$2,CONCENTRADO!$E:$E,TOTAL!$R$3)</f>
        <v>0</v>
      </c>
      <c r="H25" s="3">
        <f>SUMIFS(CONCENTRADO!$B:$B,CONCENTRADO!$A:$A,TOTAL!$B25,CONCENTRADO!$C:$C,TOTAL!H$2,CONCENTRADO!$F:$F,TOTAL!$B$23,CONCENTRADO!$D:$D,TOTAL!$R$2,CONCENTRADO!$E:$E,TOTAL!$R$3)</f>
        <v>18470</v>
      </c>
      <c r="I25" s="3">
        <f>SUMIFS(CONCENTRADO!$B:$B,CONCENTRADO!$A:$A,TOTAL!$B25,CONCENTRADO!$C:$C,TOTAL!I$2,CONCENTRADO!$F:$F,TOTAL!$B$23,CONCENTRADO!$D:$D,TOTAL!$R$2,CONCENTRADO!$E:$E,TOTAL!$R$3)</f>
        <v>0</v>
      </c>
      <c r="J25" s="3">
        <f>SUMIFS(CONCENTRADO!$B:$B,CONCENTRADO!$A:$A,TOTAL!$B25,CONCENTRADO!$C:$C,TOTAL!J$2,CONCENTRADO!$F:$F,TOTAL!$B$23,CONCENTRADO!$D:$D,TOTAL!$R$2,CONCENTRADO!$E:$E,TOTAL!$R$3)</f>
        <v>0</v>
      </c>
      <c r="K25" s="3">
        <f>SUMIFS(CONCENTRADO!$B:$B,CONCENTRADO!$A:$A,TOTAL!$B25,CONCENTRADO!$C:$C,TOTAL!K$2,CONCENTRADO!$F:$F,TOTAL!$B$23,CONCENTRADO!$D:$D,TOTAL!$R$2,CONCENTRADO!$E:$E,TOTAL!$R$3)</f>
        <v>0</v>
      </c>
      <c r="L25" s="3">
        <f>SUMIFS(CONCENTRADO!$B:$B,CONCENTRADO!$A:$A,TOTAL!$B25,CONCENTRADO!$C:$C,TOTAL!L$2,CONCENTRADO!$F:$F,TOTAL!$B$23,CONCENTRADO!$D:$D,TOTAL!$R$2,CONCENTRADO!$E:$E,TOTAL!$R$3)</f>
        <v>0</v>
      </c>
      <c r="M25" s="3">
        <f>SUMIFS(CONCENTRADO!$B:$B,CONCENTRADO!$A:$A,TOTAL!$B25,CONCENTRADO!$C:$C,TOTAL!M$2,CONCENTRADO!$F:$F,TOTAL!$B$23,CONCENTRADO!$D:$D,TOTAL!$R$2,CONCENTRADO!$E:$E,TOTAL!$R$3)</f>
        <v>0</v>
      </c>
      <c r="N25" s="3">
        <f>SUMIFS(CONCENTRADO!$B:$B,CONCENTRADO!$A:$A,TOTAL!$B25,CONCENTRADO!$C:$C,TOTAL!N$2,CONCENTRADO!$F:$F,TOTAL!$B$23,CONCENTRADO!$D:$D,TOTAL!$R$2,CONCENTRADO!$E:$E,TOTAL!$R$3)</f>
        <v>0</v>
      </c>
      <c r="O25" s="3">
        <f>SUMIFS(CONCENTRADO!$B:$B,CONCENTRADO!$A:$A,TOTAL!$B25,CONCENTRADO!$C:$C,TOTAL!O$2,CONCENTRADO!$F:$F,TOTAL!$B$23,CONCENTRADO!$D:$D,TOTAL!$R$2,CONCENTRADO!$E:$E,TOTAL!$R$3)</f>
        <v>0</v>
      </c>
      <c r="Q25" s="26">
        <v>22</v>
      </c>
      <c r="R25" s="26"/>
    </row>
    <row r="26" spans="2:18" x14ac:dyDescent="0.25">
      <c r="B26" s="3" t="s">
        <v>1</v>
      </c>
      <c r="C26" s="3">
        <f>SUMIFS(CONCENTRADO!$B:$B,CONCENTRADO!$A:$A,TOTAL!$B26,CONCENTRADO!$C:$C,TOTAL!C$2,CONCENTRADO!$F:$F,TOTAL!$B$23,CONCENTRADO!$D:$D,TOTAL!$R$2,CONCENTRADO!$E:$E,TOTAL!$R$3)</f>
        <v>0</v>
      </c>
      <c r="D26" s="3">
        <f>SUMIFS(CONCENTRADO!$B:$B,CONCENTRADO!$A:$A,TOTAL!$B26,CONCENTRADO!$C:$C,TOTAL!D$2,CONCENTRADO!$F:$F,TOTAL!$B$23,CONCENTRADO!$D:$D,TOTAL!$R$2,CONCENTRADO!$E:$E,TOTAL!$R$3)</f>
        <v>0</v>
      </c>
      <c r="E26" s="3">
        <f>SUMIFS(CONCENTRADO!$B:$B,CONCENTRADO!$A:$A,TOTAL!$B26,CONCENTRADO!$C:$C,TOTAL!E$2,CONCENTRADO!$F:$F,TOTAL!$B$23,CONCENTRADO!$D:$D,TOTAL!$R$2,CONCENTRADO!$E:$E,TOTAL!$R$3)</f>
        <v>0</v>
      </c>
      <c r="F26" s="3">
        <f>SUMIFS(CONCENTRADO!$B:$B,CONCENTRADO!$A:$A,TOTAL!$B26,CONCENTRADO!$C:$C,TOTAL!F$2,CONCENTRADO!$F:$F,TOTAL!$B$23,CONCENTRADO!$D:$D,TOTAL!$R$2,CONCENTRADO!$E:$E,TOTAL!$R$3)</f>
        <v>0</v>
      </c>
      <c r="G26" s="3">
        <f>SUMIFS(CONCENTRADO!$B:$B,CONCENTRADO!$A:$A,TOTAL!$B26,CONCENTRADO!$C:$C,TOTAL!G$2,CONCENTRADO!$F:$F,TOTAL!$B$23,CONCENTRADO!$D:$D,TOTAL!$R$2,CONCENTRADO!$E:$E,TOTAL!$R$3)</f>
        <v>0</v>
      </c>
      <c r="H26" s="3">
        <f>SUMIFS(CONCENTRADO!$B:$B,CONCENTRADO!$A:$A,TOTAL!$B26,CONCENTRADO!$C:$C,TOTAL!H$2,CONCENTRADO!$F:$F,TOTAL!$B$23,CONCENTRADO!$D:$D,TOTAL!$R$2,CONCENTRADO!$E:$E,TOTAL!$R$3)</f>
        <v>0</v>
      </c>
      <c r="I26" s="3">
        <f>SUMIFS(CONCENTRADO!$B:$B,CONCENTRADO!$A:$A,TOTAL!$B26,CONCENTRADO!$C:$C,TOTAL!I$2,CONCENTRADO!$F:$F,TOTAL!$B$23,CONCENTRADO!$D:$D,TOTAL!$R$2,CONCENTRADO!$E:$E,TOTAL!$R$3)</f>
        <v>0</v>
      </c>
      <c r="J26" s="3">
        <f>SUMIFS(CONCENTRADO!$B:$B,CONCENTRADO!$A:$A,TOTAL!$B26,CONCENTRADO!$C:$C,TOTAL!J$2,CONCENTRADO!$F:$F,TOTAL!$B$23,CONCENTRADO!$D:$D,TOTAL!$R$2,CONCENTRADO!$E:$E,TOTAL!$R$3)</f>
        <v>0</v>
      </c>
      <c r="K26" s="3">
        <f>SUMIFS(CONCENTRADO!$B:$B,CONCENTRADO!$A:$A,TOTAL!$B26,CONCENTRADO!$C:$C,TOTAL!K$2,CONCENTRADO!$F:$F,TOTAL!$B$23,CONCENTRADO!$D:$D,TOTAL!$R$2,CONCENTRADO!$E:$E,TOTAL!$R$3)</f>
        <v>0</v>
      </c>
      <c r="L26" s="3">
        <f>SUMIFS(CONCENTRADO!$B:$B,CONCENTRADO!$A:$A,TOTAL!$B26,CONCENTRADO!$C:$C,TOTAL!L$2,CONCENTRADO!$F:$F,TOTAL!$B$23,CONCENTRADO!$D:$D,TOTAL!$R$2,CONCENTRADO!$E:$E,TOTAL!$R$3)</f>
        <v>0</v>
      </c>
      <c r="M26" s="3">
        <f>SUMIFS(CONCENTRADO!$B:$B,CONCENTRADO!$A:$A,TOTAL!$B26,CONCENTRADO!$C:$C,TOTAL!M$2,CONCENTRADO!$F:$F,TOTAL!$B$23,CONCENTRADO!$D:$D,TOTAL!$R$2,CONCENTRADO!$E:$E,TOTAL!$R$3)</f>
        <v>0</v>
      </c>
      <c r="N26" s="3">
        <f>SUMIFS(CONCENTRADO!$B:$B,CONCENTRADO!$A:$A,TOTAL!$B26,CONCENTRADO!$C:$C,TOTAL!N$2,CONCENTRADO!$F:$F,TOTAL!$B$23,CONCENTRADO!$D:$D,TOTAL!$R$2,CONCENTRADO!$E:$E,TOTAL!$R$3)</f>
        <v>0</v>
      </c>
      <c r="O26" s="3">
        <f>SUMIFS(CONCENTRADO!$B:$B,CONCENTRADO!$A:$A,TOTAL!$B26,CONCENTRADO!$C:$C,TOTAL!O$2,CONCENTRADO!$F:$F,TOTAL!$B$23,CONCENTRADO!$D:$D,TOTAL!$R$2,CONCENTRADO!$E:$E,TOTAL!$R$3)</f>
        <v>0</v>
      </c>
      <c r="Q26" s="26">
        <v>23</v>
      </c>
      <c r="R26" s="26"/>
    </row>
    <row r="27" spans="2:18" x14ac:dyDescent="0.25">
      <c r="B27" s="3" t="s">
        <v>2</v>
      </c>
      <c r="C27" s="3">
        <f>SUMIFS(CONCENTRADO!$B:$B,CONCENTRADO!$A:$A,TOTAL!$B27,CONCENTRADO!$C:$C,TOTAL!C$2,CONCENTRADO!$F:$F,TOTAL!$B$23,CONCENTRADO!$D:$D,TOTAL!$R$2,CONCENTRADO!$E:$E,TOTAL!$R$3)</f>
        <v>0</v>
      </c>
      <c r="D27" s="3">
        <f>SUMIFS(CONCENTRADO!$B:$B,CONCENTRADO!$A:$A,TOTAL!$B27,CONCENTRADO!$C:$C,TOTAL!D$2,CONCENTRADO!$F:$F,TOTAL!$B$23,CONCENTRADO!$D:$D,TOTAL!$R$2,CONCENTRADO!$E:$E,TOTAL!$R$3)</f>
        <v>0</v>
      </c>
      <c r="E27" s="3">
        <f>SUMIFS(CONCENTRADO!$B:$B,CONCENTRADO!$A:$A,TOTAL!$B27,CONCENTRADO!$C:$C,TOTAL!E$2,CONCENTRADO!$F:$F,TOTAL!$B$23,CONCENTRADO!$D:$D,TOTAL!$R$2,CONCENTRADO!$E:$E,TOTAL!$R$3)</f>
        <v>0</v>
      </c>
      <c r="F27" s="3">
        <f>SUMIFS(CONCENTRADO!$B:$B,CONCENTRADO!$A:$A,TOTAL!$B27,CONCENTRADO!$C:$C,TOTAL!F$2,CONCENTRADO!$F:$F,TOTAL!$B$23,CONCENTRADO!$D:$D,TOTAL!$R$2,CONCENTRADO!$E:$E,TOTAL!$R$3)</f>
        <v>0</v>
      </c>
      <c r="G27" s="3">
        <f>SUMIFS(CONCENTRADO!$B:$B,CONCENTRADO!$A:$A,TOTAL!$B27,CONCENTRADO!$C:$C,TOTAL!G$2,CONCENTRADO!$F:$F,TOTAL!$B$23,CONCENTRADO!$D:$D,TOTAL!$R$2,CONCENTRADO!$E:$E,TOTAL!$R$3)</f>
        <v>0</v>
      </c>
      <c r="H27" s="3">
        <f>SUMIFS(CONCENTRADO!$B:$B,CONCENTRADO!$A:$A,TOTAL!$B27,CONCENTRADO!$C:$C,TOTAL!H$2,CONCENTRADO!$F:$F,TOTAL!$B$23,CONCENTRADO!$D:$D,TOTAL!$R$2,CONCENTRADO!$E:$E,TOTAL!$R$3)</f>
        <v>0</v>
      </c>
      <c r="I27" s="3">
        <f>SUMIFS(CONCENTRADO!$B:$B,CONCENTRADO!$A:$A,TOTAL!$B27,CONCENTRADO!$C:$C,TOTAL!I$2,CONCENTRADO!$F:$F,TOTAL!$B$23,CONCENTRADO!$D:$D,TOTAL!$R$2,CONCENTRADO!$E:$E,TOTAL!$R$3)</f>
        <v>0</v>
      </c>
      <c r="J27" s="3">
        <f>SUMIFS(CONCENTRADO!$B:$B,CONCENTRADO!$A:$A,TOTAL!$B27,CONCENTRADO!$C:$C,TOTAL!J$2,CONCENTRADO!$F:$F,TOTAL!$B$23,CONCENTRADO!$D:$D,TOTAL!$R$2,CONCENTRADO!$E:$E,TOTAL!$R$3)</f>
        <v>0</v>
      </c>
      <c r="K27" s="3">
        <f>SUMIFS(CONCENTRADO!$B:$B,CONCENTRADO!$A:$A,TOTAL!$B27,CONCENTRADO!$C:$C,TOTAL!K$2,CONCENTRADO!$F:$F,TOTAL!$B$23,CONCENTRADO!$D:$D,TOTAL!$R$2,CONCENTRADO!$E:$E,TOTAL!$R$3)</f>
        <v>0</v>
      </c>
      <c r="L27" s="3">
        <f>SUMIFS(CONCENTRADO!$B:$B,CONCENTRADO!$A:$A,TOTAL!$B27,CONCENTRADO!$C:$C,TOTAL!L$2,CONCENTRADO!$F:$F,TOTAL!$B$23,CONCENTRADO!$D:$D,TOTAL!$R$2,CONCENTRADO!$E:$E,TOTAL!$R$3)</f>
        <v>0</v>
      </c>
      <c r="M27" s="3">
        <f>SUMIFS(CONCENTRADO!$B:$B,CONCENTRADO!$A:$A,TOTAL!$B27,CONCENTRADO!$C:$C,TOTAL!M$2,CONCENTRADO!$F:$F,TOTAL!$B$23,CONCENTRADO!$D:$D,TOTAL!$R$2,CONCENTRADO!$E:$E,TOTAL!$R$3)</f>
        <v>0</v>
      </c>
      <c r="N27" s="3">
        <f>SUMIFS(CONCENTRADO!$B:$B,CONCENTRADO!$A:$A,TOTAL!$B27,CONCENTRADO!$C:$C,TOTAL!N$2,CONCENTRADO!$F:$F,TOTAL!$B$23,CONCENTRADO!$D:$D,TOTAL!$R$2,CONCENTRADO!$E:$E,TOTAL!$R$3)</f>
        <v>0</v>
      </c>
      <c r="O27" s="3">
        <f>SUMIFS(CONCENTRADO!$B:$B,CONCENTRADO!$A:$A,TOTAL!$B27,CONCENTRADO!$C:$C,TOTAL!O$2,CONCENTRADO!$F:$F,TOTAL!$B$23,CONCENTRADO!$D:$D,TOTAL!$R$2,CONCENTRADO!$E:$E,TOTAL!$R$3)</f>
        <v>0</v>
      </c>
      <c r="Q27" s="26">
        <v>24</v>
      </c>
      <c r="R27" s="26"/>
    </row>
    <row r="28" spans="2:18" x14ac:dyDescent="0.25">
      <c r="B28" s="3" t="s">
        <v>7</v>
      </c>
      <c r="C28" s="3">
        <f>SUMIFS(CONCENTRADO!$B:$B,CONCENTRADO!$A:$A,TOTAL!$B28,CONCENTRADO!$C:$C,TOTAL!C$2,CONCENTRADO!$F:$F,TOTAL!$B$23,CONCENTRADO!$D:$D,TOTAL!$R$2,CONCENTRADO!$E:$E,TOTAL!$R$3)</f>
        <v>0</v>
      </c>
      <c r="D28" s="3">
        <f>SUMIFS(CONCENTRADO!$B:$B,CONCENTRADO!$A:$A,TOTAL!$B28,CONCENTRADO!$C:$C,TOTAL!D$2,CONCENTRADO!$F:$F,TOTAL!$B$23,CONCENTRADO!$D:$D,TOTAL!$R$2,CONCENTRADO!$E:$E,TOTAL!$R$3)</f>
        <v>0</v>
      </c>
      <c r="E28" s="3">
        <f>SUMIFS(CONCENTRADO!$B:$B,CONCENTRADO!$A:$A,TOTAL!$B28,CONCENTRADO!$C:$C,TOTAL!E$2,CONCENTRADO!$F:$F,TOTAL!$B$23,CONCENTRADO!$D:$D,TOTAL!$R$2,CONCENTRADO!$E:$E,TOTAL!$R$3)</f>
        <v>0</v>
      </c>
      <c r="F28" s="3">
        <f>SUMIFS(CONCENTRADO!$B:$B,CONCENTRADO!$A:$A,TOTAL!$B28,CONCENTRADO!$C:$C,TOTAL!F$2,CONCENTRADO!$F:$F,TOTAL!$B$23,CONCENTRADO!$D:$D,TOTAL!$R$2,CONCENTRADO!$E:$E,TOTAL!$R$3)</f>
        <v>0</v>
      </c>
      <c r="G28" s="3">
        <f>SUMIFS(CONCENTRADO!$B:$B,CONCENTRADO!$A:$A,TOTAL!$B28,CONCENTRADO!$C:$C,TOTAL!G$2,CONCENTRADO!$F:$F,TOTAL!$B$23,CONCENTRADO!$D:$D,TOTAL!$R$2,CONCENTRADO!$E:$E,TOTAL!$R$3)</f>
        <v>0</v>
      </c>
      <c r="H28" s="3">
        <f>SUMIFS(CONCENTRADO!$B:$B,CONCENTRADO!$A:$A,TOTAL!$B28,CONCENTRADO!$C:$C,TOTAL!H$2,CONCENTRADO!$F:$F,TOTAL!$B$23,CONCENTRADO!$D:$D,TOTAL!$R$2,CONCENTRADO!$E:$E,TOTAL!$R$3)</f>
        <v>0</v>
      </c>
      <c r="I28" s="3">
        <f>SUMIFS(CONCENTRADO!$B:$B,CONCENTRADO!$A:$A,TOTAL!$B28,CONCENTRADO!$C:$C,TOTAL!I$2,CONCENTRADO!$F:$F,TOTAL!$B$23,CONCENTRADO!$D:$D,TOTAL!$R$2,CONCENTRADO!$E:$E,TOTAL!$R$3)</f>
        <v>0</v>
      </c>
      <c r="J28" s="3">
        <f>SUMIFS(CONCENTRADO!$B:$B,CONCENTRADO!$A:$A,TOTAL!$B28,CONCENTRADO!$C:$C,TOTAL!J$2,CONCENTRADO!$F:$F,TOTAL!$B$23,CONCENTRADO!$D:$D,TOTAL!$R$2,CONCENTRADO!$E:$E,TOTAL!$R$3)</f>
        <v>0</v>
      </c>
      <c r="K28" s="3">
        <f>SUMIFS(CONCENTRADO!$B:$B,CONCENTRADO!$A:$A,TOTAL!$B28,CONCENTRADO!$C:$C,TOTAL!K$2,CONCENTRADO!$F:$F,TOTAL!$B$23,CONCENTRADO!$D:$D,TOTAL!$R$2,CONCENTRADO!$E:$E,TOTAL!$R$3)</f>
        <v>0</v>
      </c>
      <c r="L28" s="3">
        <f>SUMIFS(CONCENTRADO!$B:$B,CONCENTRADO!$A:$A,TOTAL!$B28,CONCENTRADO!$C:$C,TOTAL!L$2,CONCENTRADO!$F:$F,TOTAL!$B$23,CONCENTRADO!$D:$D,TOTAL!$R$2,CONCENTRADO!$E:$E,TOTAL!$R$3)</f>
        <v>0</v>
      </c>
      <c r="M28" s="3">
        <f>SUMIFS(CONCENTRADO!$B:$B,CONCENTRADO!$A:$A,TOTAL!$B28,CONCENTRADO!$C:$C,TOTAL!M$2,CONCENTRADO!$F:$F,TOTAL!$B$23,CONCENTRADO!$D:$D,TOTAL!$R$2,CONCENTRADO!$E:$E,TOTAL!$R$3)</f>
        <v>0</v>
      </c>
      <c r="N28" s="3">
        <f>SUMIFS(CONCENTRADO!$B:$B,CONCENTRADO!$A:$A,TOTAL!$B28,CONCENTRADO!$C:$C,TOTAL!N$2,CONCENTRADO!$F:$F,TOTAL!$B$23,CONCENTRADO!$D:$D,TOTAL!$R$2,CONCENTRADO!$E:$E,TOTAL!$R$3)</f>
        <v>0</v>
      </c>
      <c r="O28" s="3">
        <f>SUMIFS(CONCENTRADO!$B:$B,CONCENTRADO!$A:$A,TOTAL!$B28,CONCENTRADO!$C:$C,TOTAL!O$2,CONCENTRADO!$F:$F,TOTAL!$B$23,CONCENTRADO!$D:$D,TOTAL!$R$2,CONCENTRADO!$E:$E,TOTAL!$R$3)</f>
        <v>0</v>
      </c>
      <c r="Q28" s="26">
        <v>25</v>
      </c>
      <c r="R28" s="26"/>
    </row>
    <row r="29" spans="2:18" x14ac:dyDescent="0.25">
      <c r="B29" s="3" t="s">
        <v>8</v>
      </c>
      <c r="C29" s="3">
        <f>SUMIFS(CONCENTRADO!$B:$B,CONCENTRADO!$A:$A,TOTAL!$B29,CONCENTRADO!$C:$C,TOTAL!C$2,CONCENTRADO!$F:$F,TOTAL!$B$23,CONCENTRADO!$D:$D,TOTAL!$R$2,CONCENTRADO!$E:$E,TOTAL!$R$3)</f>
        <v>0</v>
      </c>
      <c r="D29" s="3">
        <f>SUMIFS(CONCENTRADO!$B:$B,CONCENTRADO!$A:$A,TOTAL!$B29,CONCENTRADO!$C:$C,TOTAL!D$2,CONCENTRADO!$F:$F,TOTAL!$B$23,CONCENTRADO!$D:$D,TOTAL!$R$2,CONCENTRADO!$E:$E,TOTAL!$R$3)</f>
        <v>0</v>
      </c>
      <c r="E29" s="3">
        <f>SUMIFS(CONCENTRADO!$B:$B,CONCENTRADO!$A:$A,TOTAL!$B29,CONCENTRADO!$C:$C,TOTAL!E$2,CONCENTRADO!$F:$F,TOTAL!$B$23,CONCENTRADO!$D:$D,TOTAL!$R$2,CONCENTRADO!$E:$E,TOTAL!$R$3)</f>
        <v>0</v>
      </c>
      <c r="F29" s="3">
        <f>SUMIFS(CONCENTRADO!$B:$B,CONCENTRADO!$A:$A,TOTAL!$B29,CONCENTRADO!$C:$C,TOTAL!F$2,CONCENTRADO!$F:$F,TOTAL!$B$23,CONCENTRADO!$D:$D,TOTAL!$R$2,CONCENTRADO!$E:$E,TOTAL!$R$3)</f>
        <v>0</v>
      </c>
      <c r="G29" s="3">
        <f>SUMIFS(CONCENTRADO!$B:$B,CONCENTRADO!$A:$A,TOTAL!$B29,CONCENTRADO!$C:$C,TOTAL!G$2,CONCENTRADO!$F:$F,TOTAL!$B$23,CONCENTRADO!$D:$D,TOTAL!$R$2,CONCENTRADO!$E:$E,TOTAL!$R$3)</f>
        <v>0</v>
      </c>
      <c r="H29" s="3">
        <f>SUMIFS(CONCENTRADO!$B:$B,CONCENTRADO!$A:$A,TOTAL!$B29,CONCENTRADO!$C:$C,TOTAL!H$2,CONCENTRADO!$F:$F,TOTAL!$B$23,CONCENTRADO!$D:$D,TOTAL!$R$2,CONCENTRADO!$E:$E,TOTAL!$R$3)</f>
        <v>0</v>
      </c>
      <c r="I29" s="3">
        <f>SUMIFS(CONCENTRADO!$B:$B,CONCENTRADO!$A:$A,TOTAL!$B29,CONCENTRADO!$C:$C,TOTAL!I$2,CONCENTRADO!$F:$F,TOTAL!$B$23,CONCENTRADO!$D:$D,TOTAL!$R$2,CONCENTRADO!$E:$E,TOTAL!$R$3)</f>
        <v>0</v>
      </c>
      <c r="J29" s="3">
        <f>SUMIFS(CONCENTRADO!$B:$B,CONCENTRADO!$A:$A,TOTAL!$B29,CONCENTRADO!$C:$C,TOTAL!J$2,CONCENTRADO!$F:$F,TOTAL!$B$23,CONCENTRADO!$D:$D,TOTAL!$R$2,CONCENTRADO!$E:$E,TOTAL!$R$3)</f>
        <v>0</v>
      </c>
      <c r="K29" s="3">
        <f>SUMIFS(CONCENTRADO!$B:$B,CONCENTRADO!$A:$A,TOTAL!$B29,CONCENTRADO!$C:$C,TOTAL!K$2,CONCENTRADO!$F:$F,TOTAL!$B$23,CONCENTRADO!$D:$D,TOTAL!$R$2,CONCENTRADO!$E:$E,TOTAL!$R$3)</f>
        <v>0</v>
      </c>
      <c r="L29" s="3">
        <f>SUMIFS(CONCENTRADO!$B:$B,CONCENTRADO!$A:$A,TOTAL!$B29,CONCENTRADO!$C:$C,TOTAL!L$2,CONCENTRADO!$F:$F,TOTAL!$B$23,CONCENTRADO!$D:$D,TOTAL!$R$2,CONCENTRADO!$E:$E,TOTAL!$R$3)</f>
        <v>0</v>
      </c>
      <c r="M29" s="3">
        <f>SUMIFS(CONCENTRADO!$B:$B,CONCENTRADO!$A:$A,TOTAL!$B29,CONCENTRADO!$C:$C,TOTAL!M$2,CONCENTRADO!$F:$F,TOTAL!$B$23,CONCENTRADO!$D:$D,TOTAL!$R$2,CONCENTRADO!$E:$E,TOTAL!$R$3)</f>
        <v>0</v>
      </c>
      <c r="N29" s="3">
        <f>SUMIFS(CONCENTRADO!$B:$B,CONCENTRADO!$A:$A,TOTAL!$B29,CONCENTRADO!$C:$C,TOTAL!N$2,CONCENTRADO!$F:$F,TOTAL!$B$23,CONCENTRADO!$D:$D,TOTAL!$R$2,CONCENTRADO!$E:$E,TOTAL!$R$3)</f>
        <v>0</v>
      </c>
      <c r="O29" s="3">
        <f>SUMIFS(CONCENTRADO!$B:$B,CONCENTRADO!$A:$A,TOTAL!$B29,CONCENTRADO!$C:$C,TOTAL!O$2,CONCENTRADO!$F:$F,TOTAL!$B$23,CONCENTRADO!$D:$D,TOTAL!$R$2,CONCENTRADO!$E:$E,TOTAL!$R$3)</f>
        <v>0</v>
      </c>
      <c r="Q29" s="26">
        <v>26</v>
      </c>
      <c r="R29" s="26"/>
    </row>
    <row r="30" spans="2:18" ht="15.75" thickBot="1" x14ac:dyDescent="0.3">
      <c r="B30" s="1" t="s">
        <v>9</v>
      </c>
      <c r="C30" s="3">
        <f>SUMIFS(CONCENTRADO!$B:$B,CONCENTRADO!$A:$A,TOTAL!$B30,CONCENTRADO!$C:$C,TOTAL!C$2,CONCENTRADO!$F:$F,TOTAL!$B$23,CONCENTRADO!$D:$D,TOTAL!$R$2,CONCENTRADO!$E:$E,TOTAL!$R$3)</f>
        <v>0</v>
      </c>
      <c r="D30" s="3">
        <f>SUMIFS(CONCENTRADO!$B:$B,CONCENTRADO!$A:$A,TOTAL!$B30,CONCENTRADO!$C:$C,TOTAL!D$2,CONCENTRADO!$F:$F,TOTAL!$B$23,CONCENTRADO!$D:$D,TOTAL!$R$2,CONCENTRADO!$E:$E,TOTAL!$R$3)</f>
        <v>0</v>
      </c>
      <c r="E30" s="3">
        <f>SUMIFS(CONCENTRADO!$B:$B,CONCENTRADO!$A:$A,TOTAL!$B30,CONCENTRADO!$C:$C,TOTAL!E$2,CONCENTRADO!$F:$F,TOTAL!$B$23,CONCENTRADO!$D:$D,TOTAL!$R$2,CONCENTRADO!$E:$E,TOTAL!$R$3)</f>
        <v>0</v>
      </c>
      <c r="F30" s="3">
        <f>SUMIFS(CONCENTRADO!$B:$B,CONCENTRADO!$A:$A,TOTAL!$B30,CONCENTRADO!$C:$C,TOTAL!F$2,CONCENTRADO!$F:$F,TOTAL!$B$23,CONCENTRADO!$D:$D,TOTAL!$R$2,CONCENTRADO!$E:$E,TOTAL!$R$3)</f>
        <v>0</v>
      </c>
      <c r="G30" s="3">
        <f>SUMIFS(CONCENTRADO!$B:$B,CONCENTRADO!$A:$A,TOTAL!$B30,CONCENTRADO!$C:$C,TOTAL!G$2,CONCENTRADO!$F:$F,TOTAL!$B$23,CONCENTRADO!$D:$D,TOTAL!$R$2,CONCENTRADO!$E:$E,TOTAL!$R$3)</f>
        <v>0</v>
      </c>
      <c r="H30" s="3">
        <f>SUMIFS(CONCENTRADO!$B:$B,CONCENTRADO!$A:$A,TOTAL!$B30,CONCENTRADO!$C:$C,TOTAL!H$2,CONCENTRADO!$F:$F,TOTAL!$B$23,CONCENTRADO!$D:$D,TOTAL!$R$2,CONCENTRADO!$E:$E,TOTAL!$R$3)</f>
        <v>0</v>
      </c>
      <c r="I30" s="3">
        <f>SUMIFS(CONCENTRADO!$B:$B,CONCENTRADO!$A:$A,TOTAL!$B30,CONCENTRADO!$C:$C,TOTAL!I$2,CONCENTRADO!$F:$F,TOTAL!$B$23,CONCENTRADO!$D:$D,TOTAL!$R$2,CONCENTRADO!$E:$E,TOTAL!$R$3)</f>
        <v>0</v>
      </c>
      <c r="J30" s="3">
        <f>SUMIFS(CONCENTRADO!$B:$B,CONCENTRADO!$A:$A,TOTAL!$B30,CONCENTRADO!$C:$C,TOTAL!J$2,CONCENTRADO!$F:$F,TOTAL!$B$23,CONCENTRADO!$D:$D,TOTAL!$R$2,CONCENTRADO!$E:$E,TOTAL!$R$3)</f>
        <v>0</v>
      </c>
      <c r="K30" s="3">
        <f>SUMIFS(CONCENTRADO!$B:$B,CONCENTRADO!$A:$A,TOTAL!$B30,CONCENTRADO!$C:$C,TOTAL!K$2,CONCENTRADO!$F:$F,TOTAL!$B$23,CONCENTRADO!$D:$D,TOTAL!$R$2,CONCENTRADO!$E:$E,TOTAL!$R$3)</f>
        <v>0</v>
      </c>
      <c r="L30" s="3">
        <f>SUMIFS(CONCENTRADO!$B:$B,CONCENTRADO!$A:$A,TOTAL!$B30,CONCENTRADO!$C:$C,TOTAL!L$2,CONCENTRADO!$F:$F,TOTAL!$B$23,CONCENTRADO!$D:$D,TOTAL!$R$2,CONCENTRADO!$E:$E,TOTAL!$R$3)</f>
        <v>0</v>
      </c>
      <c r="M30" s="3">
        <f>SUMIFS(CONCENTRADO!$B:$B,CONCENTRADO!$A:$A,TOTAL!$B30,CONCENTRADO!$C:$C,TOTAL!M$2,CONCENTRADO!$F:$F,TOTAL!$B$23,CONCENTRADO!$D:$D,TOTAL!$R$2,CONCENTRADO!$E:$E,TOTAL!$R$3)</f>
        <v>0</v>
      </c>
      <c r="N30" s="3">
        <f>SUMIFS(CONCENTRADO!$B:$B,CONCENTRADO!$A:$A,TOTAL!$B30,CONCENTRADO!$C:$C,TOTAL!N$2,CONCENTRADO!$F:$F,TOTAL!$B$23,CONCENTRADO!$D:$D,TOTAL!$R$2,CONCENTRADO!$E:$E,TOTAL!$R$3)</f>
        <v>0</v>
      </c>
      <c r="O30" s="3">
        <f>SUMIFS(CONCENTRADO!$B:$B,CONCENTRADO!$A:$A,TOTAL!$B30,CONCENTRADO!$C:$C,TOTAL!O$2,CONCENTRADO!$F:$F,TOTAL!$B$23,CONCENTRADO!$D:$D,TOTAL!$R$2,CONCENTRADO!$E:$E,TOTAL!$R$3)</f>
        <v>0</v>
      </c>
      <c r="Q30" s="26">
        <v>27</v>
      </c>
      <c r="R30" s="26"/>
    </row>
    <row r="31" spans="2:18" ht="15.75" thickTop="1" x14ac:dyDescent="0.25">
      <c r="Q31" s="26">
        <v>28</v>
      </c>
      <c r="R31" s="26"/>
    </row>
    <row r="32" spans="2:18" x14ac:dyDescent="0.25">
      <c r="Q32" s="26">
        <v>29</v>
      </c>
      <c r="R32" s="26"/>
    </row>
    <row r="33" spans="16:18" x14ac:dyDescent="0.25">
      <c r="Q33" s="26">
        <v>30</v>
      </c>
      <c r="R33" s="26"/>
    </row>
    <row r="34" spans="16:18" x14ac:dyDescent="0.25">
      <c r="P34">
        <v>5</v>
      </c>
      <c r="Q34" s="26">
        <v>31</v>
      </c>
      <c r="R34" s="26"/>
    </row>
    <row r="35" spans="16:18" x14ac:dyDescent="0.25">
      <c r="Q35" s="26"/>
      <c r="R35" s="26"/>
    </row>
    <row r="36" spans="16:18" x14ac:dyDescent="0.25">
      <c r="Q36" s="26"/>
      <c r="R36" s="26"/>
    </row>
  </sheetData>
  <mergeCells count="3">
    <mergeCell ref="B1:O1"/>
    <mergeCell ref="B12:O12"/>
    <mergeCell ref="B23:O23"/>
  </mergeCells>
  <dataValidations count="2">
    <dataValidation type="list" allowBlank="1" showInputMessage="1" showErrorMessage="1" sqref="R2" xr:uid="{01BCF44B-C533-42E1-82F1-C0BC5A89266A}">
      <formula1>$Q$4:$Q$34</formula1>
    </dataValidation>
    <dataValidation type="list" allowBlank="1" showInputMessage="1" showErrorMessage="1" sqref="R3" xr:uid="{E085C680-1435-443A-9571-C4F7277AB797}">
      <formula1>$R$4:$R$15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LLENADO</vt:lpstr>
      <vt:lpstr>CONCENTRADO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Mendoza</dc:creator>
  <cp:lastModifiedBy>Carlos Mendoza</cp:lastModifiedBy>
  <dcterms:created xsi:type="dcterms:W3CDTF">2024-10-17T15:29:56Z</dcterms:created>
  <dcterms:modified xsi:type="dcterms:W3CDTF">2024-11-05T23:25:58Z</dcterms:modified>
</cp:coreProperties>
</file>